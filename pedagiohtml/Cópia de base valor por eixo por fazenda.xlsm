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Logistica_Florestal\EQUIPE\Sócrates Luis dos Santos\Dados\controle_VP\"/>
    </mc:Choice>
  </mc:AlternateContent>
  <xr:revisionPtr revIDLastSave="0" documentId="13_ncr:1_{AA02F309-0684-49B6-BB69-4B4574B2D797}" xr6:coauthVersionLast="36" xr6:coauthVersionMax="36" xr10:uidLastSave="{00000000-0000-0000-0000-000000000000}"/>
  <bookViews>
    <workbookView xWindow="0" yWindow="0" windowWidth="28800" windowHeight="12225" xr2:uid="{F262FC81-0421-46CA-9131-7B72F321CDCD}"/>
  </bookViews>
  <sheets>
    <sheet name="BASE_PEDAGIOS" sheetId="2" r:id="rId1"/>
    <sheet name="BD R$.eixo" sheetId="1" r:id="rId2"/>
  </sheets>
  <definedNames>
    <definedName name="_xlnm._FilterDatabase" localSheetId="1" hidden="1">'BD R$.eixo'!$C$2:$G$228</definedName>
    <definedName name="SegmentaçãodeDados_Projeto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2" l="1"/>
  <c r="D48" i="2"/>
  <c r="D40" i="2"/>
  <c r="D41" i="2"/>
  <c r="D42" i="2"/>
  <c r="D43" i="2"/>
  <c r="D44" i="2"/>
  <c r="D45" i="2"/>
  <c r="D46" i="2"/>
  <c r="D47" i="2"/>
  <c r="C46" i="2"/>
  <c r="C47" i="2"/>
  <c r="D19" i="2" l="1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4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5" i="2"/>
  <c r="C6" i="2"/>
  <c r="C7" i="2"/>
  <c r="C4" i="2"/>
  <c r="D205" i="1" l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0" i="1"/>
  <c r="M250" i="1"/>
  <c r="N248" i="1"/>
  <c r="M248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L233" i="1"/>
  <c r="K233" i="1"/>
  <c r="L232" i="1"/>
  <c r="K232" i="1"/>
  <c r="L231" i="1"/>
  <c r="K23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222" i="1"/>
  <c r="K222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E214" i="1" l="1"/>
  <c r="E98" i="1"/>
  <c r="E108" i="1"/>
  <c r="E121" i="1"/>
  <c r="E155" i="1"/>
  <c r="E179" i="1"/>
  <c r="E186" i="1"/>
  <c r="E189" i="1"/>
  <c r="E215" i="1"/>
  <c r="E218" i="1"/>
  <c r="E220" i="1"/>
  <c r="E222" i="1"/>
  <c r="E224" i="1"/>
  <c r="E226" i="1"/>
  <c r="E228" i="1"/>
  <c r="D214" i="1"/>
  <c r="D98" i="1"/>
  <c r="D108" i="1"/>
  <c r="D121" i="1"/>
  <c r="D155" i="1"/>
  <c r="D179" i="1"/>
  <c r="D186" i="1"/>
  <c r="D189" i="1"/>
  <c r="D215" i="1"/>
  <c r="D218" i="1"/>
  <c r="D220" i="1"/>
  <c r="D222" i="1"/>
  <c r="D224" i="1"/>
  <c r="D226" i="1"/>
  <c r="D228" i="1"/>
  <c r="K207" i="1"/>
  <c r="J207" i="1"/>
  <c r="E203" i="1" l="1"/>
  <c r="E204" i="1"/>
  <c r="E205" i="1"/>
  <c r="E206" i="1"/>
  <c r="E207" i="1"/>
  <c r="E208" i="1"/>
  <c r="E209" i="1"/>
  <c r="E210" i="1"/>
  <c r="E211" i="1"/>
  <c r="E212" i="1"/>
  <c r="E213" i="1"/>
  <c r="D203" i="1"/>
  <c r="D204" i="1"/>
  <c r="D206" i="1"/>
  <c r="D207" i="1"/>
  <c r="D208" i="1"/>
  <c r="D209" i="1"/>
  <c r="D210" i="1"/>
  <c r="D211" i="1"/>
  <c r="D212" i="1"/>
  <c r="D213" i="1"/>
  <c r="K203" i="1" l="1"/>
  <c r="J203" i="1"/>
  <c r="K202" i="1"/>
  <c r="J202" i="1"/>
  <c r="K201" i="1"/>
  <c r="J201" i="1"/>
  <c r="K200" i="1"/>
  <c r="J200" i="1"/>
  <c r="K199" i="1"/>
  <c r="J199" i="1"/>
  <c r="K198" i="1"/>
  <c r="J198" i="1"/>
  <c r="K197" i="1"/>
  <c r="J197" i="1"/>
  <c r="K196" i="1"/>
  <c r="J196" i="1"/>
  <c r="K195" i="1"/>
  <c r="J195" i="1"/>
  <c r="K194" i="1"/>
  <c r="J194" i="1"/>
  <c r="K193" i="1"/>
  <c r="J193" i="1"/>
  <c r="K192" i="1"/>
  <c r="J192" i="1"/>
  <c r="E191" i="1" l="1"/>
  <c r="E192" i="1"/>
  <c r="E193" i="1"/>
  <c r="E194" i="1"/>
  <c r="E195" i="1"/>
  <c r="E196" i="1"/>
  <c r="E197" i="1"/>
  <c r="E198" i="1"/>
  <c r="E199" i="1"/>
  <c r="E200" i="1"/>
  <c r="E201" i="1"/>
  <c r="E202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E217" i="1" l="1"/>
  <c r="D217" i="1"/>
  <c r="E124" i="1"/>
  <c r="D124" i="1"/>
  <c r="D183" i="1" l="1"/>
  <c r="D184" i="1"/>
  <c r="D185" i="1"/>
  <c r="D105" i="1"/>
  <c r="D109" i="1"/>
  <c r="D188" i="1"/>
  <c r="D221" i="1"/>
  <c r="D225" i="1"/>
  <c r="E183" i="1"/>
  <c r="E184" i="1"/>
  <c r="E185" i="1"/>
  <c r="E105" i="1"/>
  <c r="E109" i="1"/>
  <c r="E188" i="1"/>
  <c r="E221" i="1"/>
  <c r="E225" i="1"/>
  <c r="E182" i="1"/>
  <c r="E219" i="1"/>
  <c r="E178" i="1"/>
  <c r="E223" i="1"/>
  <c r="E89" i="1"/>
  <c r="E181" i="1"/>
  <c r="E171" i="1"/>
  <c r="E172" i="1"/>
  <c r="E173" i="1"/>
  <c r="E174" i="1"/>
  <c r="E175" i="1"/>
  <c r="E176" i="1"/>
  <c r="D171" i="1"/>
  <c r="D172" i="1"/>
  <c r="D173" i="1"/>
  <c r="D174" i="1"/>
  <c r="D175" i="1"/>
  <c r="D176" i="1"/>
  <c r="D219" i="1"/>
  <c r="D178" i="1"/>
  <c r="D223" i="1"/>
  <c r="D89" i="1"/>
  <c r="D181" i="1"/>
  <c r="D182" i="1"/>
  <c r="D163" i="1"/>
  <c r="E161" i="1"/>
  <c r="E162" i="1"/>
  <c r="E163" i="1"/>
  <c r="E164" i="1"/>
  <c r="E165" i="1"/>
  <c r="E166" i="1"/>
  <c r="E167" i="1"/>
  <c r="E168" i="1"/>
  <c r="E169" i="1"/>
  <c r="E170" i="1"/>
  <c r="E160" i="1"/>
  <c r="D161" i="1"/>
  <c r="D162" i="1"/>
  <c r="D164" i="1"/>
  <c r="D165" i="1"/>
  <c r="D166" i="1"/>
  <c r="D167" i="1"/>
  <c r="D168" i="1"/>
  <c r="D169" i="1"/>
  <c r="D170" i="1"/>
  <c r="D160" i="1"/>
  <c r="E5" i="1"/>
  <c r="D5" i="1"/>
  <c r="E4" i="1"/>
  <c r="D4" i="1"/>
  <c r="D149" i="1"/>
  <c r="D157" i="1"/>
  <c r="E149" i="1"/>
  <c r="E150" i="1"/>
  <c r="E151" i="1"/>
  <c r="E152" i="1"/>
  <c r="E153" i="1"/>
  <c r="E227" i="1"/>
  <c r="E177" i="1"/>
  <c r="E156" i="1"/>
  <c r="E157" i="1"/>
  <c r="E148" i="1"/>
  <c r="D150" i="1"/>
  <c r="D151" i="1"/>
  <c r="D152" i="1"/>
  <c r="D153" i="1"/>
  <c r="D227" i="1"/>
  <c r="D177" i="1"/>
  <c r="D156" i="1"/>
  <c r="D148" i="1"/>
  <c r="E130" i="1"/>
  <c r="D130" i="1"/>
  <c r="E129" i="1"/>
  <c r="D129" i="1"/>
  <c r="E116" i="1"/>
  <c r="D116" i="1"/>
  <c r="E33" i="1"/>
  <c r="D33" i="1"/>
  <c r="E7" i="1"/>
  <c r="D7" i="1"/>
</calcChain>
</file>

<file path=xl/sharedStrings.xml><?xml version="1.0" encoding="utf-8"?>
<sst xmlns="http://schemas.openxmlformats.org/spreadsheetml/2006/main" count="359" uniqueCount="230">
  <si>
    <t>Ida (R$/eixo)</t>
  </si>
  <si>
    <t>Volta (R$/eixo)</t>
  </si>
  <si>
    <t>BOM JESUS</t>
  </si>
  <si>
    <t>DOS ORIXÁS</t>
  </si>
  <si>
    <t>FAXINAL</t>
  </si>
  <si>
    <t>FIGUEIRA BRANCA</t>
  </si>
  <si>
    <t>FOMENTO - SÍTIO TIMBURI</t>
  </si>
  <si>
    <t>INDEPENDÊNCIA</t>
  </si>
  <si>
    <t>MATÃO II</t>
  </si>
  <si>
    <t>MONTE ALEGRE</t>
  </si>
  <si>
    <t>MORRO PEQUENO</t>
  </si>
  <si>
    <t>OLINDA</t>
  </si>
  <si>
    <t>SALTO DO LONTRA</t>
  </si>
  <si>
    <t>SANTA CECÍLIA</t>
  </si>
  <si>
    <t>SANTA HELENA II</t>
  </si>
  <si>
    <t>SANTO ANTONIO DA ÁGUA SANTA</t>
  </si>
  <si>
    <t>SANTO ANTÔNIO DOS PALMARES</t>
  </si>
  <si>
    <t>SANTO INÁCIO</t>
  </si>
  <si>
    <t>SÃO JOÃO DO VEADINHO</t>
  </si>
  <si>
    <t>SÃO JOSÉ DO PAPIREMA</t>
  </si>
  <si>
    <t>SÃO MIGUEL</t>
  </si>
  <si>
    <t>SÃO PEDRO</t>
  </si>
  <si>
    <t>SARANDI</t>
  </si>
  <si>
    <t>SERRINHA</t>
  </si>
  <si>
    <t>SÍTIO ALTO DO PINHAL</t>
  </si>
  <si>
    <t>BOA VISTA III</t>
  </si>
  <si>
    <t>SANTA EDWIRGES</t>
  </si>
  <si>
    <t>Projeto</t>
  </si>
  <si>
    <t>NOVA CONCÓRDIA</t>
  </si>
  <si>
    <t>NOSSA SENHORA APARECIDA III</t>
  </si>
  <si>
    <t>VÔ NÉLO</t>
  </si>
  <si>
    <t>ESPERANÇA III</t>
  </si>
  <si>
    <t>LOBO E ARARAS</t>
  </si>
  <si>
    <t>MIYADA</t>
  </si>
  <si>
    <t>POUSO ALTO</t>
  </si>
  <si>
    <t>RIO FEIO</t>
  </si>
  <si>
    <t>SANTO ANTÔNIO XIV</t>
  </si>
  <si>
    <t>URUPÊS</t>
  </si>
  <si>
    <t>IDEAL</t>
  </si>
  <si>
    <t>PINHEIRO</t>
  </si>
  <si>
    <t>SANTA CECÍLIA III</t>
  </si>
  <si>
    <t>NOSSA SENHORA DE LOURDES II</t>
  </si>
  <si>
    <t>QUEIXADA</t>
  </si>
  <si>
    <t>BOA ESPERANÇA IV</t>
  </si>
  <si>
    <t>CONGONHAS</t>
  </si>
  <si>
    <t>EIRÓ</t>
  </si>
  <si>
    <t>MARUQUE</t>
  </si>
  <si>
    <t>NOVA ESPERANÇA</t>
  </si>
  <si>
    <t>SANTA INÊS II - AVARÉ</t>
  </si>
  <si>
    <t>SANTA LUIZA</t>
  </si>
  <si>
    <t>SÃO SEBASTIÃO VI</t>
  </si>
  <si>
    <t>REMANSO II</t>
  </si>
  <si>
    <t>USINA PAREDÃO</t>
  </si>
  <si>
    <t>RAINHA DA PAZ III</t>
  </si>
  <si>
    <t>SELVA</t>
  </si>
  <si>
    <t>MARIA CRISTINA</t>
  </si>
  <si>
    <t>PINDORAMA</t>
  </si>
  <si>
    <t>MACACOS</t>
  </si>
  <si>
    <t>CACHOEIRA DOS ÍNDIOS - GLEBA A II</t>
  </si>
  <si>
    <t>CACHOEIRA DOS ÍNDIOS - GLEBA A</t>
  </si>
  <si>
    <t>ESTÂNCIA</t>
  </si>
  <si>
    <t>RAINHA DA PAZ</t>
  </si>
  <si>
    <t>BREJÃO III</t>
  </si>
  <si>
    <t>TERRA DE PAULA</t>
  </si>
  <si>
    <t>SANTA INÊS III - AVARÉ</t>
  </si>
  <si>
    <t>BREJÃO CORREDOR</t>
  </si>
  <si>
    <t>CONQUISTA III</t>
  </si>
  <si>
    <t>RECREIO</t>
  </si>
  <si>
    <t>SANTO ALBERTO</t>
  </si>
  <si>
    <t>NOSSA SENHORA APARECIDA IX</t>
  </si>
  <si>
    <t>SANTA MARTA - GLEBA A</t>
  </si>
  <si>
    <t>VARGEM RICA II</t>
  </si>
  <si>
    <t>PRIMAVERA V</t>
  </si>
  <si>
    <t>SAN FERNANDO</t>
  </si>
  <si>
    <t>TAPERA QUEIMADA</t>
  </si>
  <si>
    <t>IPIRANGA III - BOREBI</t>
  </si>
  <si>
    <t>SANTA MARIANA II</t>
  </si>
  <si>
    <t>IPÊ II</t>
  </si>
  <si>
    <t>PARAÍSO</t>
  </si>
  <si>
    <t>CONGONHAS II</t>
  </si>
  <si>
    <t>ILHA</t>
  </si>
  <si>
    <t>CAÇADOR</t>
  </si>
  <si>
    <t>PORTO BELO I</t>
  </si>
  <si>
    <t>BOA VISTA I</t>
  </si>
  <si>
    <t>LAGOA RICA</t>
  </si>
  <si>
    <t>MONJOLINHO</t>
  </si>
  <si>
    <t>PORTO BELO II</t>
  </si>
  <si>
    <t>SANTA ISABEL</t>
  </si>
  <si>
    <t>SANTA ELIZA</t>
  </si>
  <si>
    <t>OITO PONTAS</t>
  </si>
  <si>
    <t>MADRE CABRINI</t>
  </si>
  <si>
    <t>SANTA HELENA III</t>
  </si>
  <si>
    <t>AMERICANA</t>
  </si>
  <si>
    <t>PITANGUEIRAS</t>
  </si>
  <si>
    <t>BOI II</t>
  </si>
  <si>
    <t>MACEDÔNIA</t>
  </si>
  <si>
    <t>SÃO JOÃO DA FIGUEIRA</t>
  </si>
  <si>
    <t>SANTA ROSA II</t>
  </si>
  <si>
    <t>BOM SUCESSO</t>
  </si>
  <si>
    <t>LIMEIRA</t>
  </si>
  <si>
    <t>ÁGUAS DE PILINTRA</t>
  </si>
  <si>
    <t>PANTANO TTG</t>
  </si>
  <si>
    <t>SANTA ROSA VI - CAPÃO BONITO</t>
  </si>
  <si>
    <t>FLECHA AZUL</t>
  </si>
  <si>
    <t>CARRETÃO I</t>
  </si>
  <si>
    <t>QUERÊNCIA IV</t>
  </si>
  <si>
    <t>SANTA MARIA IV</t>
  </si>
  <si>
    <t>SÃO JOÃO V</t>
  </si>
  <si>
    <t>SANTA FLORA - GLEBA B</t>
  </si>
  <si>
    <t>FOMENTO - RECANTO QJ</t>
  </si>
  <si>
    <t>CAMPO ALEGRE</t>
  </si>
  <si>
    <t>PORTEIRA</t>
  </si>
  <si>
    <t>BOA VISTA II</t>
  </si>
  <si>
    <t>JATOBÁ II</t>
  </si>
  <si>
    <t>LUNARDELLI I</t>
  </si>
  <si>
    <t>LUNARDELLI II</t>
  </si>
  <si>
    <t>PONTE ALTA</t>
  </si>
  <si>
    <t>NOSSA SENHORA DE GUADALUPE</t>
  </si>
  <si>
    <t>PROMISSÃO</t>
  </si>
  <si>
    <t>CAIEIRAS</t>
  </si>
  <si>
    <t>PAU D ALHO</t>
  </si>
  <si>
    <t>CARRETÃO II</t>
  </si>
  <si>
    <t>REPRESA - GLEBA A</t>
  </si>
  <si>
    <t>SANTO ANTÔNIO DO ALAMBARI</t>
  </si>
  <si>
    <t>SANTO ANTÔNIO V</t>
  </si>
  <si>
    <t>SÃO SEBASTIÃO III</t>
  </si>
  <si>
    <t>CLAVINOTE</t>
  </si>
  <si>
    <t>NOVO HORIZONTE</t>
  </si>
  <si>
    <t>NOVO RETIRO</t>
  </si>
  <si>
    <t>PARAÍSO VIII</t>
  </si>
  <si>
    <t>ÁGUA SANTA</t>
  </si>
  <si>
    <t>DUAS PONTES</t>
  </si>
  <si>
    <t>SANTO EXPEDITO III</t>
  </si>
  <si>
    <t>FOMENTO - BONAMENS II</t>
  </si>
  <si>
    <t>NOSSA SENHORA DE FÁTIMA V - BAURU</t>
  </si>
  <si>
    <t>SANTA MARIA II</t>
  </si>
  <si>
    <t>FOMENTO - GUAREI</t>
  </si>
  <si>
    <t>REPRESA - GLEBA B</t>
  </si>
  <si>
    <t>SANTA ROSA III</t>
  </si>
  <si>
    <t>MASSAPÊ</t>
  </si>
  <si>
    <t>GAVIÃO</t>
  </si>
  <si>
    <t>BARRA MANSA II</t>
  </si>
  <si>
    <t>SÃO GERÔNIMO I</t>
  </si>
  <si>
    <t>TURVO I</t>
  </si>
  <si>
    <t>SANTA CRUZ</t>
  </si>
  <si>
    <t>SÃO BENTO</t>
  </si>
  <si>
    <t>ÁGUA BRANCA</t>
  </si>
  <si>
    <t>ESTIVA III</t>
  </si>
  <si>
    <t>SANTA RITA III</t>
  </si>
  <si>
    <t>SANTO ANTÔNIO</t>
  </si>
  <si>
    <t>SANTA MARIANA</t>
  </si>
  <si>
    <t>SÃO SEBASTIÃO I</t>
  </si>
  <si>
    <t>SÃO SEBASTIÃO IV</t>
  </si>
  <si>
    <t>TURVINHO V</t>
  </si>
  <si>
    <t>SANTA TEREZA DO LIMOEIRO</t>
  </si>
  <si>
    <t>TURVINHO I</t>
  </si>
  <si>
    <t>JFI</t>
  </si>
  <si>
    <t>RIO CLARO</t>
  </si>
  <si>
    <t>PARANÁ</t>
  </si>
  <si>
    <t>SÃO ROQUE</t>
  </si>
  <si>
    <t>VALOR 5 EIXOS</t>
  </si>
  <si>
    <t>VALOR 9 EIXOS</t>
  </si>
  <si>
    <t>ARAGUAIA II - ANGATUBA</t>
  </si>
  <si>
    <t>SÃO FRANCISCO PACHECO</t>
  </si>
  <si>
    <t>SÃO JOÃO DO RIO DO PEIXE</t>
  </si>
  <si>
    <t>COQUEIRAL</t>
  </si>
  <si>
    <t>DIMEP II</t>
  </si>
  <si>
    <t>SÃO SEBASTIÃO II</t>
  </si>
  <si>
    <t>CONQUISTA II</t>
  </si>
  <si>
    <t>NOSSA SENHORA DA ESPERANÇA</t>
  </si>
  <si>
    <t>PLANALTO</t>
  </si>
  <si>
    <t>SANTA CATARINA II - BOTUCATU</t>
  </si>
  <si>
    <t>SOSSEGO II</t>
  </si>
  <si>
    <t>NOSSA SENHORA DE FÁTIMA I</t>
  </si>
  <si>
    <t>PEREIRA</t>
  </si>
  <si>
    <t>SANTO ANTÔNIO III</t>
  </si>
  <si>
    <t>SÃO JOSÉ III</t>
  </si>
  <si>
    <t>DOIS MENINOS</t>
  </si>
  <si>
    <t>JACUTINGA II</t>
  </si>
  <si>
    <t>SANTO ANTÔNIO VI</t>
  </si>
  <si>
    <t>SÃO FRANCISCO</t>
  </si>
  <si>
    <t>SÃO JOÃO DO BELMONT</t>
  </si>
  <si>
    <t>ÔMEGA</t>
  </si>
  <si>
    <t>SÃO JOSÉ X - BOFETE</t>
  </si>
  <si>
    <t>LIBERDADE III</t>
  </si>
  <si>
    <t>EUROPA - RRP</t>
  </si>
  <si>
    <t>ESPERANÇA II</t>
  </si>
  <si>
    <t>MENDES-UNIÃO</t>
  </si>
  <si>
    <t>PAINEIRAS</t>
  </si>
  <si>
    <t>PEDRA PRETA</t>
  </si>
  <si>
    <t>SANTA JOSEFINA</t>
  </si>
  <si>
    <t>SÃO CRISTÓVÃO</t>
  </si>
  <si>
    <t>SÃO JOSÉ II</t>
  </si>
  <si>
    <t>RADIANTE DO SÃO LUIZ</t>
  </si>
  <si>
    <t>CANCHIN</t>
  </si>
  <si>
    <t xml:space="preserve">CONQUISTA II </t>
  </si>
  <si>
    <t>PARAÍSO IV</t>
  </si>
  <si>
    <t>SANTA HELENA</t>
  </si>
  <si>
    <t>TURVINHO II</t>
  </si>
  <si>
    <t>SÃO MANOEL III</t>
  </si>
  <si>
    <t>SÃO MANOEL II</t>
  </si>
  <si>
    <t>CRISTO REI</t>
  </si>
  <si>
    <t>PINGO D AGUA</t>
  </si>
  <si>
    <t>SÍTIO CANAÃ</t>
  </si>
  <si>
    <t>CHAPADÃO A</t>
  </si>
  <si>
    <t>BURITIS</t>
  </si>
  <si>
    <t>BARRA MANSA II - ACL</t>
  </si>
  <si>
    <t>S</t>
  </si>
  <si>
    <t>ATUALIZADO EM 12/06/2024</t>
  </si>
  <si>
    <t>Data da atualização</t>
  </si>
  <si>
    <t>Valor por eixo ida</t>
  </si>
  <si>
    <t>Valor por eixo volta</t>
  </si>
  <si>
    <t>Valor total da viagem ida</t>
  </si>
  <si>
    <t>Valor total da viagem volta</t>
  </si>
  <si>
    <t>BASE DE VALORES DE PEDAGIOS</t>
  </si>
  <si>
    <t>PALMEIRAS</t>
  </si>
  <si>
    <t>Quantidades de praças ida</t>
  </si>
  <si>
    <t>Quantidade de praças volta</t>
  </si>
  <si>
    <t>SANTA AMÉLIA</t>
  </si>
  <si>
    <t>SÃO JOÃO DA LAPA</t>
  </si>
  <si>
    <t>CABREUVA</t>
  </si>
  <si>
    <t>Observações</t>
  </si>
  <si>
    <t>Essa rota, na ida não passa por nehuma praça de pedágio, na ida o caminhão vai por Borebi e na volta vem por Piratininga.</t>
  </si>
  <si>
    <t xml:space="preserve">Essa rota, na ida o caminhão entra por Lençois e corta o pedagio de Areiopolis. Na volta os caminhões vem por Botucatu. Por isso a diferença de valores entre ida e volta. </t>
  </si>
  <si>
    <t>Essa rota, na ida o caminhão entra por Lençois e corta o pedagio de Areiopolis</t>
  </si>
  <si>
    <t>FOMENTO - TREVO III</t>
  </si>
  <si>
    <t>SÃO BENEDITO III - SANTA MARIA DA SERRA</t>
  </si>
  <si>
    <t>SANTO ANTÔNIO VII</t>
  </si>
  <si>
    <t>SÃO JOÃO XII</t>
  </si>
  <si>
    <t>SANTA MADALENA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</si>
</sst>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7">
    <xf numFmtId="0" fontId="0" fillId="0" borderId="0" xfId="0"/>
    <xf numFmtId="0" fontId="2" fillId="2" borderId="1" xfId="0" applyFont="1" applyFill="1" applyBorder="1"/>
    <xf numFmtId="0" fontId="3" fillId="0" borderId="1" xfId="0" applyFont="1" applyBorder="1"/>
    <xf numFmtId="0" fontId="3" fillId="0" borderId="1" xfId="0" applyFont="1" applyBorder="1" applyAlignment="1">
      <alignment horizontal="left"/>
    </xf>
    <xf numFmtId="44" fontId="3" fillId="0" borderId="1" xfId="1" applyFont="1" applyBorder="1"/>
    <xf numFmtId="44" fontId="4" fillId="0" borderId="1" xfId="1" applyFont="1" applyBorder="1" applyAlignment="1">
      <alignment vertical="center"/>
    </xf>
    <xf numFmtId="0" fontId="3" fillId="0" borderId="0" xfId="0" applyFont="1"/>
    <xf numFmtId="0" fontId="3" fillId="0" borderId="1" xfId="0" applyFont="1" applyFill="1" applyBorder="1"/>
    <xf numFmtId="44" fontId="4" fillId="0" borderId="1" xfId="1" applyFont="1" applyFill="1" applyBorder="1" applyAlignment="1">
      <alignment vertical="center"/>
    </xf>
    <xf numFmtId="44" fontId="4" fillId="0" borderId="1" xfId="1" applyNumberFormat="1" applyFont="1" applyBorder="1" applyAlignment="1">
      <alignment vertical="center"/>
    </xf>
    <xf numFmtId="44" fontId="3" fillId="0" borderId="1" xfId="1" applyNumberFormat="1" applyFont="1" applyBorder="1"/>
    <xf numFmtId="0" fontId="0" fillId="0" borderId="1" xfId="0" applyBorder="1"/>
    <xf numFmtId="44" fontId="0" fillId="0" borderId="0" xfId="1" applyFont="1"/>
    <xf numFmtId="44" fontId="0" fillId="0" borderId="1" xfId="1" applyFont="1" applyBorder="1"/>
    <xf numFmtId="0" fontId="0" fillId="0" borderId="2" xfId="0" applyBorder="1"/>
    <xf numFmtId="44" fontId="0" fillId="0" borderId="2" xfId="1" applyFont="1" applyBorder="1"/>
    <xf numFmtId="0" fontId="0" fillId="0" borderId="1" xfId="0" applyFill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0" fontId="5" fillId="0" borderId="1" xfId="0" applyFont="1" applyBorder="1" applyAlignment="1">
      <alignment vertical="center"/>
    </xf>
    <xf numFmtId="44" fontId="4" fillId="0" borderId="3" xfId="1" applyFont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/>
    </xf>
    <xf numFmtId="44" fontId="4" fillId="0" borderId="3" xfId="1" applyFont="1" applyFill="1" applyBorder="1" applyAlignment="1">
      <alignment vertical="center"/>
    </xf>
    <xf numFmtId="44" fontId="3" fillId="0" borderId="3" xfId="1" applyFont="1" applyBorder="1"/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4" fontId="0" fillId="0" borderId="0" xfId="1" applyFont="1" applyAlignment="1">
      <alignment horizontal="center" vertical="center" wrapText="1"/>
    </xf>
    <xf numFmtId="44" fontId="0" fillId="0" borderId="0" xfId="1" applyFont="1" applyBorder="1" applyAlignment="1">
      <alignment vertical="center"/>
    </xf>
    <xf numFmtId="0" fontId="0" fillId="0" borderId="0" xfId="0" applyAlignment="1">
      <alignment vertical="center" wrapText="1"/>
    </xf>
    <xf numFmtId="44" fontId="0" fillId="0" borderId="0" xfId="1" applyFont="1" applyAlignment="1">
      <alignment vertical="center"/>
    </xf>
    <xf numFmtId="44" fontId="1" fillId="0" borderId="0" xfId="1" applyFont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44" fontId="0" fillId="3" borderId="0" xfId="1" applyFont="1" applyFill="1" applyAlignment="1">
      <alignment vertical="center"/>
    </xf>
    <xf numFmtId="0" fontId="9" fillId="0" borderId="0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9" fillId="0" borderId="0" xfId="2" applyFont="1" applyFill="1" applyAlignment="1">
      <alignment horizontal="center"/>
    </xf>
    <xf numFmtId="0" fontId="9" fillId="0" borderId="0" xfId="3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44" fontId="0" fillId="3" borderId="0" xfId="1" applyFont="1" applyFill="1" applyAlignment="1">
      <alignment horizontal="center" vertical="center"/>
    </xf>
    <xf numFmtId="0" fontId="11" fillId="3" borderId="0" xfId="2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 textRotation="90"/>
    </xf>
    <xf numFmtId="0" fontId="6" fillId="3" borderId="7" xfId="0" applyFont="1" applyFill="1" applyBorder="1" applyAlignment="1">
      <alignment horizontal="center" vertical="center" textRotation="90"/>
    </xf>
    <xf numFmtId="0" fontId="0" fillId="0" borderId="0" xfId="0" applyFill="1" applyAlignment="1">
      <alignment horizontal="center"/>
    </xf>
    <xf numFmtId="0" fontId="11" fillId="0" borderId="0" xfId="2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4">
    <cellStyle name="Hiperlink" xfId="2" builtinId="8"/>
    <cellStyle name="Hiperlink Visitado" xfId="3" builtinId="9"/>
    <cellStyle name="Moeda" xfId="1" builtinId="4"/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47626</xdr:rowOff>
    </xdr:from>
    <xdr:to>
      <xdr:col>4</xdr:col>
      <xdr:colOff>514350</xdr:colOff>
      <xdr:row>1</xdr:row>
      <xdr:rowOff>542925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Projeto">
              <a:extLst>
                <a:ext uri="{FF2B5EF4-FFF2-40B4-BE49-F238E27FC236}">
                  <a16:creationId xmlns:a16="http://schemas.microsoft.com/office/drawing/2014/main" id="{0FE5E0A7-86E9-4FA9-831A-1B119CD693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626"/>
              <a:ext cx="7867650" cy="685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233</xdr:row>
      <xdr:rowOff>19050</xdr:rowOff>
    </xdr:from>
    <xdr:to>
      <xdr:col>6</xdr:col>
      <xdr:colOff>743764</xdr:colOff>
      <xdr:row>258</xdr:row>
      <xdr:rowOff>48294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D8EB960-417C-48CD-9C26-0EDAD388B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44405550"/>
          <a:ext cx="5830114" cy="4791744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jeto" xr10:uid="{290FB5E1-2E67-454B-A783-5DA0E2475AA8}" sourceName="Projeto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jeto" xr10:uid="{76916D62-ADA2-4A89-A9A1-ABF264B11268}" cache="SegmentaçãodeDados_Projeto" caption="Projeto" columnCount="5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8A7EFC-E17D-4BC9-AB5E-A3275207C04C}" name="Tabela1" displayName="Tabela1" ref="A3:I50" totalsRowShown="0" headerRowDxfId="26" dataDxfId="25" headerRowCellStyle="Moeda">
  <autoFilter ref="A3:I50" xr:uid="{A0AF9E6F-E324-4086-824C-37E8F9614164}"/>
  <sortState ref="A4:H44">
    <sortCondition ref="A4"/>
  </sortState>
  <tableColumns count="9">
    <tableColumn id="1" xr3:uid="{270C0764-6E8F-4472-BA6D-FC0196F84616}" name="Data da atualização" dataDxfId="24"/>
    <tableColumn id="2" xr3:uid="{7D049AF4-539A-469C-9E1C-33457F97FE20}" name="Projeto" dataDxfId="23"/>
    <tableColumn id="3" xr3:uid="{839B04AD-F910-49E5-BE7A-4264936A9DA9}" name="Valor por eixo ida" dataDxfId="22" dataCellStyle="Moeda">
      <calculatedColumnFormula>IF(ISNUMBER(E4),E4/5,"SEM PEDAGIO")</calculatedColumnFormula>
    </tableColumn>
    <tableColumn id="4" xr3:uid="{09271E74-259F-4056-B0A3-2DD057F13320}" name="Valor por eixo volta" dataDxfId="21" dataCellStyle="Moeda">
      <calculatedColumnFormula>IF(ISNUMBER(F4),F4/9,"SEM PEDAGIO")</calculatedColumnFormula>
    </tableColumn>
    <tableColumn id="5" xr3:uid="{5185AF84-55DB-400F-A70C-D9648286AD21}" name="Valor total da viagem ida" dataDxfId="20" dataCellStyle="Moeda"/>
    <tableColumn id="6" xr3:uid="{E496CB03-6E10-4AFD-8326-2EE3FB62DB71}" name="Valor total da viagem volta" dataDxfId="19" dataCellStyle="Moeda"/>
    <tableColumn id="7" xr3:uid="{A7A04E53-6A52-4C16-AAC2-E5141437A668}" name="Quantidades de praças ida" dataDxfId="18"/>
    <tableColumn id="8" xr3:uid="{3B2DF5EF-F159-4898-89EE-E4E8ADA882CB}" name="Quantidade de praças volta" dataDxfId="17"/>
    <tableColumn id="9" xr3:uid="{A3007E63-22C6-4BFC-8E74-E6B4FCA2935E}" name="Observações" dataDxfId="16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\..\mapas\Rotograma%20Transporte%20-%200174%20-%20Final.pdf" TargetMode="External"/><Relationship Id="rId13" Type="http://schemas.openxmlformats.org/officeDocument/2006/relationships/hyperlink" Target="..\..\mapas\Rota%20de%20Transporte%20-%200286%20&#8211;%20Liberdade%20III%20-%20Final.pdf" TargetMode="External"/><Relationship Id="rId18" Type="http://schemas.openxmlformats.org/officeDocument/2006/relationships/hyperlink" Target="..\..\mapas\Rota%20de%20Acesso%20-%200252%20&#8211;%20Pedra%20Preta%20-%20Final.pdf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\..\mapas\Rota%20de%20Transporte%20-%202244%20-%20BARRA%20MANSA%20II%20-%20Pr&#233;vio.pdf" TargetMode="External"/><Relationship Id="rId21" Type="http://schemas.openxmlformats.org/officeDocument/2006/relationships/hyperlink" Target="..\..\mapas\Rota%20de%20Transporte%20-%200404%20&#8211;%20Salto%20do%20Lontra%20-%20Final.pdf" TargetMode="External"/><Relationship Id="rId7" Type="http://schemas.openxmlformats.org/officeDocument/2006/relationships/hyperlink" Target="..\..\mapas\Rota%20de%20Acesso%20-%200291%20-%20CONQUISTA%20II%20-%20Final.pdf" TargetMode="External"/><Relationship Id="rId12" Type="http://schemas.openxmlformats.org/officeDocument/2006/relationships/hyperlink" Target="..\..\mapas\Rota%20de%20Transporte%20-%200691%20&#8211;%20JFI%20-%20Final.pdf" TargetMode="External"/><Relationship Id="rId17" Type="http://schemas.openxmlformats.org/officeDocument/2006/relationships/hyperlink" Target="..\..\mapas\Rota%20de%20Transporte%20-%200248%20&#8211;%20Para&#237;so%20IV%20-%20Final.pdf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\..\mapas\Rota%20de%20Transporte%200473%20&#8211;%20Americana%20-%20Final.pdf" TargetMode="External"/><Relationship Id="rId16" Type="http://schemas.openxmlformats.org/officeDocument/2006/relationships/hyperlink" Target="..\..\mapas\Rota%20de%20Acesso%20-%200110%20-%20Paineiras%20-%20Final.pdf" TargetMode="External"/><Relationship Id="rId20" Type="http://schemas.openxmlformats.org/officeDocument/2006/relationships/hyperlink" Target="..\..\mapas\Rota%20de%20Transporte%20-0317%20&#8211;%20Radiante%20do%20S&#227;o%20Luiz%20-%20Final.pdf" TargetMode="External"/><Relationship Id="rId1" Type="http://schemas.openxmlformats.org/officeDocument/2006/relationships/hyperlink" Target="..\..\mapas\Rota%20de%20Transporte%20-%205001%20&#8211;%20&#193;gua%20Santa%20-%20Final.pdf" TargetMode="External"/><Relationship Id="rId6" Type="http://schemas.openxmlformats.org/officeDocument/2006/relationships/hyperlink" Target="..\..\mapas\Rota%20de%20Transporte%20-%205003%20-%20Chapad&#227;o%20A%20-%20Final.pdf" TargetMode="External"/><Relationship Id="rId11" Type="http://schemas.openxmlformats.org/officeDocument/2006/relationships/hyperlink" Target="..\..\mapas\Rota%20de%20Transporte%20-%201112%20-%20EUROPA%20-%20Final.pdf" TargetMode="External"/><Relationship Id="rId24" Type="http://schemas.openxmlformats.org/officeDocument/2006/relationships/hyperlink" Target="..\..\mapas\5004%20-%20Santo%20Ant&#244;nio%20-%20Rota%20de%20Transporte%20-%20V1.pdf" TargetMode="External"/><Relationship Id="rId5" Type="http://schemas.openxmlformats.org/officeDocument/2006/relationships/hyperlink" Target="..\..\mapas\Rota%20de%20Transporte%20-%201084%20-%20Canchin%20-%20Final.pdf" TargetMode="External"/><Relationship Id="rId15" Type="http://schemas.openxmlformats.org/officeDocument/2006/relationships/hyperlink" Target="..\..\mapas\Rota%20de%20Acesso%20-%200244%20-%20&#212;mega%20-%20Final.pdf" TargetMode="External"/><Relationship Id="rId23" Type="http://schemas.openxmlformats.org/officeDocument/2006/relationships/hyperlink" Target="..\..\mapas\Rota%20de%20Transporte%20-%200818%20&#8211;%20Fomento%20Trevo%20III%20%20-%20Final.pdf" TargetMode="External"/><Relationship Id="rId28" Type="http://schemas.microsoft.com/office/2007/relationships/slicer" Target="../slicers/slicer1.xml"/><Relationship Id="rId10" Type="http://schemas.openxmlformats.org/officeDocument/2006/relationships/hyperlink" Target="..\..\mapas\Rota%20de%20Transporte%20-%200318%20-%20Esperan&#231;a%20II%20-%20Final.pdf" TargetMode="External"/><Relationship Id="rId19" Type="http://schemas.openxmlformats.org/officeDocument/2006/relationships/hyperlink" Target="..\..\mapas\Rota%20de%20Transporte%20-%200329%20&#8211;%20Pingo%20D&#8217;&#193;gua%20-%20Final.pdf" TargetMode="External"/><Relationship Id="rId4" Type="http://schemas.openxmlformats.org/officeDocument/2006/relationships/hyperlink" Target="..\..\mapas\Rota%20de%20Acesso%20-%200267%20-%20Buritis%20-%20Final.pdf" TargetMode="External"/><Relationship Id="rId9" Type="http://schemas.openxmlformats.org/officeDocument/2006/relationships/hyperlink" Target="..\..\mapas\Rota%20de%20Acesso%20-%200247%20-%20Dois%20Meninos%20%20-%20Final.pdf" TargetMode="External"/><Relationship Id="rId14" Type="http://schemas.openxmlformats.org/officeDocument/2006/relationships/hyperlink" Target="..\..\mapas\Rota%20de%20Acesso%20-%200478%20-%20Maced&#244;nia%20%20-%20Final.pdf" TargetMode="External"/><Relationship Id="rId22" Type="http://schemas.openxmlformats.org/officeDocument/2006/relationships/hyperlink" Target="..\..\mapas\Rota%20de%20Transporte%20-%200132%20&#8211;%20Santa%20Helena%20-%20Final.pdf" TargetMode="External"/><Relationship Id="rId27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E6EF4-C864-4AA6-8A29-5FB24C1E5A2F}">
  <sheetPr codeName="Planilha2"/>
  <dimension ref="A1:I65"/>
  <sheetViews>
    <sheetView tabSelected="1" workbookViewId="0">
      <selection activeCell="G12" sqref="G12"/>
    </sheetView>
  </sheetViews>
  <sheetFormatPr defaultRowHeight="15" x14ac:dyDescent="0.25"/>
  <cols>
    <col min="1" max="1" width="22.7109375" style="41" bestFit="1" customWidth="1"/>
    <col min="2" max="2" width="40.140625" style="35" bestFit="1" customWidth="1"/>
    <col min="3" max="3" width="22.85546875" style="43" bestFit="1" customWidth="1"/>
    <col min="4" max="4" width="24.5703125" style="43" bestFit="1" customWidth="1"/>
    <col min="5" max="5" width="29.28515625" style="43" bestFit="1" customWidth="1"/>
    <col min="6" max="6" width="31.140625" style="43" bestFit="1" customWidth="1"/>
    <col min="7" max="7" width="30.7109375" style="35" bestFit="1" customWidth="1"/>
    <col min="8" max="8" width="31.5703125" style="35" bestFit="1" customWidth="1"/>
    <col min="9" max="9" width="71.140625" style="42" bestFit="1" customWidth="1"/>
    <col min="10" max="11" width="9.140625" style="34"/>
    <col min="12" max="12" width="8.7109375" style="34" bestFit="1" customWidth="1"/>
    <col min="13" max="14" width="14.7109375" style="34" bestFit="1" customWidth="1"/>
    <col min="15" max="16" width="10.5703125" style="34" bestFit="1" customWidth="1"/>
    <col min="17" max="16384" width="9.140625" style="34"/>
  </cols>
  <sheetData>
    <row r="1" spans="1:9" ht="15" customHeight="1" x14ac:dyDescent="0.25">
      <c r="A1" s="56" t="s">
        <v>214</v>
      </c>
      <c r="B1" s="56"/>
      <c r="C1" s="56"/>
      <c r="D1" s="56"/>
      <c r="E1" s="56"/>
      <c r="F1" s="56"/>
      <c r="G1" s="56"/>
      <c r="H1" s="56"/>
      <c r="I1" s="56"/>
    </row>
    <row r="2" spans="1:9" ht="70.5" customHeight="1" x14ac:dyDescent="0.25">
      <c r="A2" s="56"/>
      <c r="B2" s="56"/>
      <c r="C2" s="56"/>
      <c r="D2" s="56"/>
      <c r="E2" s="56"/>
      <c r="F2" s="56"/>
      <c r="G2" s="56"/>
      <c r="H2" s="56"/>
      <c r="I2" s="56"/>
    </row>
    <row r="3" spans="1:9" x14ac:dyDescent="0.25">
      <c r="A3" s="29" t="s">
        <v>209</v>
      </c>
      <c r="B3" s="30" t="s">
        <v>27</v>
      </c>
      <c r="C3" s="32" t="s">
        <v>210</v>
      </c>
      <c r="D3" s="32" t="s">
        <v>211</v>
      </c>
      <c r="E3" s="33" t="s">
        <v>212</v>
      </c>
      <c r="F3" s="33" t="s">
        <v>213</v>
      </c>
      <c r="G3" s="32" t="s">
        <v>216</v>
      </c>
      <c r="H3" s="32" t="s">
        <v>217</v>
      </c>
      <c r="I3" s="36" t="s">
        <v>221</v>
      </c>
    </row>
    <row r="4" spans="1:9" x14ac:dyDescent="0.25">
      <c r="A4" s="31">
        <v>45455</v>
      </c>
      <c r="B4" s="44" t="s">
        <v>130</v>
      </c>
      <c r="C4" s="32">
        <f>IF(E4=0,"SEM PEDAGIO",IF(ISNUMBER(E4),E4/5,""))</f>
        <v>86.376000000000005</v>
      </c>
      <c r="D4" s="32">
        <f>IF(F4=0,"SEM PEDAGIO",IF(ISNUMBER(F4),F4/9,""))</f>
        <v>86.38</v>
      </c>
      <c r="E4" s="37">
        <v>431.88</v>
      </c>
      <c r="F4" s="37">
        <v>777.42</v>
      </c>
      <c r="G4" s="54">
        <v>8</v>
      </c>
      <c r="H4" s="54">
        <v>8</v>
      </c>
      <c r="I4" s="38"/>
    </row>
    <row r="5" spans="1:9" x14ac:dyDescent="0.25">
      <c r="A5" s="31">
        <v>45455</v>
      </c>
      <c r="B5" s="44" t="s">
        <v>92</v>
      </c>
      <c r="C5" s="32">
        <f t="shared" ref="C5:C47" si="0">IF(E5=0,"SEM PEDAGIO",IF(ISNUMBER(E5),E5/5,""))</f>
        <v>6.5359999999999996</v>
      </c>
      <c r="D5" s="32">
        <f t="shared" ref="D5:D47" si="1">IF(F5=0,"SEM PEDAGIO",IF(ISNUMBER(F5),F5/9,""))</f>
        <v>14.444444444444445</v>
      </c>
      <c r="E5" s="37">
        <v>32.68</v>
      </c>
      <c r="F5" s="37">
        <v>130</v>
      </c>
      <c r="G5" s="29">
        <v>1</v>
      </c>
      <c r="H5" s="29">
        <v>2</v>
      </c>
      <c r="I5" s="38" t="s">
        <v>224</v>
      </c>
    </row>
    <row r="6" spans="1:9" x14ac:dyDescent="0.25">
      <c r="A6" s="31">
        <v>45455</v>
      </c>
      <c r="B6" s="44" t="s">
        <v>206</v>
      </c>
      <c r="C6" s="32">
        <f t="shared" si="0"/>
        <v>67.099999999999994</v>
      </c>
      <c r="D6" s="32">
        <f t="shared" si="1"/>
        <v>67.099999999999994</v>
      </c>
      <c r="E6" s="37">
        <v>335.5</v>
      </c>
      <c r="F6" s="37">
        <v>603.9</v>
      </c>
      <c r="G6" s="29">
        <v>9</v>
      </c>
      <c r="H6" s="29">
        <v>9</v>
      </c>
      <c r="I6" s="38"/>
    </row>
    <row r="7" spans="1:9" ht="30" x14ac:dyDescent="0.25">
      <c r="A7" s="31">
        <v>45455</v>
      </c>
      <c r="B7" s="45" t="s">
        <v>205</v>
      </c>
      <c r="C7" s="32" t="str">
        <f t="shared" si="0"/>
        <v>SEM PEDAGIO</v>
      </c>
      <c r="D7" s="32">
        <f t="shared" si="1"/>
        <v>16.899999999999999</v>
      </c>
      <c r="E7" s="37">
        <v>0</v>
      </c>
      <c r="F7" s="37">
        <v>152.1</v>
      </c>
      <c r="G7" s="29">
        <v>0</v>
      </c>
      <c r="H7" s="29">
        <v>2</v>
      </c>
      <c r="I7" s="38" t="s">
        <v>222</v>
      </c>
    </row>
    <row r="8" spans="1:9" x14ac:dyDescent="0.25">
      <c r="A8" s="31">
        <v>45455</v>
      </c>
      <c r="B8" s="46" t="s">
        <v>194</v>
      </c>
      <c r="C8" s="32">
        <f t="shared" si="0"/>
        <v>19.225999999999999</v>
      </c>
      <c r="D8" s="32">
        <f t="shared" si="1"/>
        <v>19.221111111111114</v>
      </c>
      <c r="E8" s="37">
        <v>96.13</v>
      </c>
      <c r="F8" s="37">
        <v>172.99</v>
      </c>
      <c r="G8" s="29"/>
      <c r="H8" s="29">
        <v>2</v>
      </c>
      <c r="I8" s="38"/>
    </row>
    <row r="9" spans="1:9" x14ac:dyDescent="0.25">
      <c r="A9" s="31">
        <v>45455</v>
      </c>
      <c r="B9" s="45" t="s">
        <v>204</v>
      </c>
      <c r="C9" s="32">
        <f t="shared" si="0"/>
        <v>80.075999999999993</v>
      </c>
      <c r="D9" s="32">
        <f t="shared" si="1"/>
        <v>80.08</v>
      </c>
      <c r="E9" s="37">
        <v>400.38</v>
      </c>
      <c r="F9" s="37">
        <v>720.72</v>
      </c>
      <c r="G9" s="29">
        <v>7</v>
      </c>
      <c r="H9" s="29">
        <v>7</v>
      </c>
      <c r="I9" s="38"/>
    </row>
    <row r="10" spans="1:9" x14ac:dyDescent="0.25">
      <c r="A10" s="31">
        <v>45455</v>
      </c>
      <c r="B10" s="45" t="s">
        <v>195</v>
      </c>
      <c r="C10" s="32">
        <f t="shared" si="0"/>
        <v>15.4</v>
      </c>
      <c r="D10" s="32">
        <f t="shared" si="1"/>
        <v>15.399999999999999</v>
      </c>
      <c r="E10" s="37">
        <v>77</v>
      </c>
      <c r="F10" s="37">
        <v>138.6</v>
      </c>
      <c r="G10" s="29">
        <v>2</v>
      </c>
      <c r="H10" s="29">
        <v>2</v>
      </c>
      <c r="I10" s="38"/>
    </row>
    <row r="11" spans="1:9" x14ac:dyDescent="0.25">
      <c r="A11" s="31">
        <v>45455</v>
      </c>
      <c r="B11" s="45" t="s">
        <v>201</v>
      </c>
      <c r="C11" s="32">
        <f t="shared" si="0"/>
        <v>18.809999999999999</v>
      </c>
      <c r="D11" s="32">
        <f t="shared" si="1"/>
        <v>18.82</v>
      </c>
      <c r="E11" s="37">
        <v>94.05</v>
      </c>
      <c r="F11" s="37">
        <v>169.38</v>
      </c>
      <c r="G11" s="29">
        <v>2</v>
      </c>
      <c r="H11" s="29">
        <v>2</v>
      </c>
      <c r="I11" s="38"/>
    </row>
    <row r="12" spans="1:9" x14ac:dyDescent="0.25">
      <c r="A12" s="31">
        <v>45455</v>
      </c>
      <c r="B12" s="44" t="s">
        <v>177</v>
      </c>
      <c r="C12" s="32">
        <f t="shared" si="0"/>
        <v>18.809999999999999</v>
      </c>
      <c r="D12" s="32">
        <f t="shared" si="1"/>
        <v>18.82</v>
      </c>
      <c r="E12" s="37">
        <v>94.05</v>
      </c>
      <c r="F12" s="37">
        <v>169.38</v>
      </c>
      <c r="G12" s="29">
        <v>2</v>
      </c>
      <c r="H12" s="29">
        <v>2</v>
      </c>
      <c r="I12" s="38"/>
    </row>
    <row r="13" spans="1:9" x14ac:dyDescent="0.25">
      <c r="A13" s="31">
        <v>45455</v>
      </c>
      <c r="B13" s="44" t="s">
        <v>186</v>
      </c>
      <c r="C13" s="32">
        <f t="shared" si="0"/>
        <v>16.899999999999999</v>
      </c>
      <c r="D13" s="32">
        <f t="shared" si="1"/>
        <v>16.899999999999999</v>
      </c>
      <c r="E13" s="37">
        <v>84.5</v>
      </c>
      <c r="F13" s="37">
        <v>152.1</v>
      </c>
      <c r="G13" s="29">
        <v>2</v>
      </c>
      <c r="H13" s="29">
        <v>2</v>
      </c>
      <c r="I13" s="38"/>
    </row>
    <row r="14" spans="1:9" x14ac:dyDescent="0.25">
      <c r="A14" s="31">
        <v>45455</v>
      </c>
      <c r="B14" s="47" t="s">
        <v>185</v>
      </c>
      <c r="C14" s="32">
        <f t="shared" si="0"/>
        <v>67.099999999999994</v>
      </c>
      <c r="D14" s="32">
        <f t="shared" si="1"/>
        <v>67.099999999999994</v>
      </c>
      <c r="E14" s="37">
        <v>335.5</v>
      </c>
      <c r="F14" s="37">
        <v>603.9</v>
      </c>
      <c r="G14" s="29">
        <v>9</v>
      </c>
      <c r="H14" s="29">
        <v>9</v>
      </c>
      <c r="I14" s="38"/>
    </row>
    <row r="15" spans="1:9" ht="45" x14ac:dyDescent="0.25">
      <c r="A15" s="31">
        <v>45455</v>
      </c>
      <c r="B15" s="44" t="s">
        <v>156</v>
      </c>
      <c r="C15" s="32">
        <f t="shared" si="0"/>
        <v>16.236000000000001</v>
      </c>
      <c r="D15" s="32">
        <f t="shared" si="1"/>
        <v>24.144444444444446</v>
      </c>
      <c r="E15" s="37">
        <v>81.180000000000007</v>
      </c>
      <c r="F15" s="37">
        <v>217.3</v>
      </c>
      <c r="G15" s="29">
        <v>2</v>
      </c>
      <c r="H15" s="29">
        <v>3</v>
      </c>
      <c r="I15" s="38" t="s">
        <v>223</v>
      </c>
    </row>
    <row r="16" spans="1:9" x14ac:dyDescent="0.25">
      <c r="A16" s="31">
        <v>45455</v>
      </c>
      <c r="B16" s="44" t="s">
        <v>184</v>
      </c>
      <c r="C16" s="32">
        <f t="shared" si="0"/>
        <v>15.4</v>
      </c>
      <c r="D16" s="32">
        <f t="shared" si="1"/>
        <v>15.399999999999999</v>
      </c>
      <c r="E16" s="37">
        <v>77</v>
      </c>
      <c r="F16" s="37">
        <v>138.6</v>
      </c>
      <c r="G16" s="29">
        <v>2</v>
      </c>
      <c r="H16" s="29">
        <v>2</v>
      </c>
      <c r="I16" s="38"/>
    </row>
    <row r="17" spans="1:9" x14ac:dyDescent="0.25">
      <c r="A17" s="31">
        <v>45455</v>
      </c>
      <c r="B17" s="44" t="s">
        <v>95</v>
      </c>
      <c r="C17" s="32">
        <f t="shared" si="0"/>
        <v>14.436000000000002</v>
      </c>
      <c r="D17" s="32">
        <f t="shared" si="1"/>
        <v>14.444444444444445</v>
      </c>
      <c r="E17" s="37">
        <v>72.180000000000007</v>
      </c>
      <c r="F17" s="37">
        <v>130</v>
      </c>
      <c r="G17" s="29">
        <v>2</v>
      </c>
      <c r="H17" s="29">
        <v>2</v>
      </c>
      <c r="I17" s="38"/>
    </row>
    <row r="18" spans="1:9" x14ac:dyDescent="0.25">
      <c r="A18" s="31">
        <v>45455</v>
      </c>
      <c r="B18" s="28" t="s">
        <v>187</v>
      </c>
      <c r="C18" s="32" t="str">
        <f t="shared" si="0"/>
        <v>SEM PEDAGIO</v>
      </c>
      <c r="D18" s="32" t="str">
        <f t="shared" si="1"/>
        <v>SEM PEDAGIO</v>
      </c>
      <c r="E18" s="37">
        <v>0</v>
      </c>
      <c r="F18" s="37">
        <v>0</v>
      </c>
      <c r="G18" s="29">
        <v>0</v>
      </c>
      <c r="H18" s="29">
        <v>0</v>
      </c>
      <c r="I18" s="38"/>
    </row>
    <row r="19" spans="1:9" x14ac:dyDescent="0.25">
      <c r="A19" s="31">
        <v>45455</v>
      </c>
      <c r="B19" s="44" t="s">
        <v>182</v>
      </c>
      <c r="C19" s="32">
        <f t="shared" si="0"/>
        <v>32.1</v>
      </c>
      <c r="D19" s="32">
        <f t="shared" si="1"/>
        <v>32.099999999999994</v>
      </c>
      <c r="E19" s="37">
        <v>160.5</v>
      </c>
      <c r="F19" s="37">
        <v>288.89999999999998</v>
      </c>
      <c r="G19" s="29"/>
      <c r="H19" s="29"/>
      <c r="I19" s="38"/>
    </row>
    <row r="20" spans="1:9" x14ac:dyDescent="0.25">
      <c r="A20" s="31">
        <v>45455</v>
      </c>
      <c r="B20" s="44" t="s">
        <v>188</v>
      </c>
      <c r="C20" s="32">
        <f t="shared" si="0"/>
        <v>12.634</v>
      </c>
      <c r="D20" s="32">
        <f t="shared" si="1"/>
        <v>12.634444444444444</v>
      </c>
      <c r="E20" s="37">
        <v>63.17</v>
      </c>
      <c r="F20" s="37">
        <v>113.71</v>
      </c>
      <c r="G20" s="29"/>
      <c r="H20" s="29"/>
      <c r="I20" s="38"/>
    </row>
    <row r="21" spans="1:9" x14ac:dyDescent="0.25">
      <c r="A21" s="31">
        <v>45455</v>
      </c>
      <c r="B21" s="45" t="s">
        <v>196</v>
      </c>
      <c r="C21" s="32">
        <f t="shared" si="0"/>
        <v>22.7</v>
      </c>
      <c r="D21" s="32">
        <f t="shared" si="1"/>
        <v>22.700000000000003</v>
      </c>
      <c r="E21" s="37">
        <v>113.5</v>
      </c>
      <c r="F21" s="37">
        <v>204.3</v>
      </c>
      <c r="G21" s="29"/>
      <c r="H21" s="29"/>
      <c r="I21" s="38"/>
    </row>
    <row r="22" spans="1:9" x14ac:dyDescent="0.25">
      <c r="A22" s="31">
        <v>45455</v>
      </c>
      <c r="B22" s="44" t="s">
        <v>189</v>
      </c>
      <c r="C22" s="32">
        <f t="shared" si="0"/>
        <v>14.9</v>
      </c>
      <c r="D22" s="32">
        <f t="shared" si="1"/>
        <v>14.899999999999999</v>
      </c>
      <c r="E22" s="37">
        <v>74.5</v>
      </c>
      <c r="F22" s="37">
        <v>134.1</v>
      </c>
      <c r="G22" s="29"/>
      <c r="H22" s="29"/>
      <c r="I22" s="38"/>
    </row>
    <row r="23" spans="1:9" x14ac:dyDescent="0.25">
      <c r="A23" s="31">
        <v>45455</v>
      </c>
      <c r="B23" s="45" t="s">
        <v>202</v>
      </c>
      <c r="C23" s="32">
        <f t="shared" si="0"/>
        <v>32.1</v>
      </c>
      <c r="D23" s="32">
        <f t="shared" si="1"/>
        <v>32.099999999999994</v>
      </c>
      <c r="E23" s="37">
        <v>160.5</v>
      </c>
      <c r="F23" s="37">
        <v>288.89999999999998</v>
      </c>
      <c r="G23" s="29"/>
      <c r="H23" s="29"/>
      <c r="I23" s="38"/>
    </row>
    <row r="24" spans="1:9" x14ac:dyDescent="0.25">
      <c r="A24" s="31">
        <v>45455</v>
      </c>
      <c r="B24" s="45" t="s">
        <v>193</v>
      </c>
      <c r="C24" s="32">
        <f t="shared" si="0"/>
        <v>32.1</v>
      </c>
      <c r="D24" s="32">
        <f t="shared" si="1"/>
        <v>32.099999999999994</v>
      </c>
      <c r="E24" s="37">
        <v>160.5</v>
      </c>
      <c r="F24" s="37">
        <v>288.89999999999998</v>
      </c>
      <c r="G24" s="29"/>
      <c r="H24" s="29"/>
      <c r="I24" s="38"/>
    </row>
    <row r="25" spans="1:9" x14ac:dyDescent="0.25">
      <c r="A25" s="31">
        <v>45455</v>
      </c>
      <c r="B25" s="48" t="s">
        <v>157</v>
      </c>
      <c r="C25" s="32" t="str">
        <f t="shared" si="0"/>
        <v>SEM PEDAGIO</v>
      </c>
      <c r="D25" s="32" t="str">
        <f t="shared" si="1"/>
        <v>SEM PEDAGIO</v>
      </c>
      <c r="E25" s="37">
        <v>0</v>
      </c>
      <c r="F25" s="37">
        <v>0</v>
      </c>
      <c r="G25" s="29">
        <v>0</v>
      </c>
      <c r="H25" s="29">
        <v>0</v>
      </c>
      <c r="I25" s="38"/>
    </row>
    <row r="26" spans="1:9" x14ac:dyDescent="0.25">
      <c r="A26" s="31">
        <v>45455</v>
      </c>
      <c r="B26" s="44" t="s">
        <v>12</v>
      </c>
      <c r="C26" s="32">
        <f t="shared" si="0"/>
        <v>22.456</v>
      </c>
      <c r="D26" s="32">
        <f t="shared" si="1"/>
        <v>22.451111111111111</v>
      </c>
      <c r="E26" s="37">
        <v>112.28</v>
      </c>
      <c r="F26" s="37">
        <v>202.06</v>
      </c>
      <c r="G26" s="29">
        <v>2</v>
      </c>
      <c r="H26" s="29">
        <v>2</v>
      </c>
      <c r="I26" s="38"/>
    </row>
    <row r="27" spans="1:9" x14ac:dyDescent="0.25">
      <c r="A27" s="31">
        <v>45455</v>
      </c>
      <c r="B27" s="48" t="s">
        <v>108</v>
      </c>
      <c r="C27" s="32" t="str">
        <f t="shared" si="0"/>
        <v>SEM PEDAGIO</v>
      </c>
      <c r="D27" s="32" t="str">
        <f t="shared" si="1"/>
        <v>SEM PEDAGIO</v>
      </c>
      <c r="E27" s="37">
        <v>0</v>
      </c>
      <c r="F27" s="37">
        <v>0</v>
      </c>
      <c r="G27" s="29">
        <v>0</v>
      </c>
      <c r="H27" s="29">
        <v>0</v>
      </c>
      <c r="I27" s="38"/>
    </row>
    <row r="28" spans="1:9" x14ac:dyDescent="0.25">
      <c r="A28" s="31">
        <v>45455</v>
      </c>
      <c r="B28" s="45" t="s">
        <v>197</v>
      </c>
      <c r="C28" s="32">
        <f t="shared" si="0"/>
        <v>15.4</v>
      </c>
      <c r="D28" s="32">
        <f t="shared" si="1"/>
        <v>15.399999999999999</v>
      </c>
      <c r="E28" s="37">
        <v>77</v>
      </c>
      <c r="F28" s="37">
        <v>138.6</v>
      </c>
      <c r="G28" s="29"/>
      <c r="H28" s="29"/>
      <c r="I28" s="38"/>
    </row>
    <row r="29" spans="1:9" x14ac:dyDescent="0.25">
      <c r="A29" s="31">
        <v>45455</v>
      </c>
      <c r="B29" s="28" t="s">
        <v>48</v>
      </c>
      <c r="C29" s="32">
        <f t="shared" si="0"/>
        <v>6.5359999999999996</v>
      </c>
      <c r="D29" s="32">
        <f t="shared" si="1"/>
        <v>14.899999999999999</v>
      </c>
      <c r="E29" s="37">
        <v>32.68</v>
      </c>
      <c r="F29" s="37">
        <v>134.1</v>
      </c>
      <c r="G29" s="29"/>
      <c r="H29" s="29"/>
      <c r="I29" s="38"/>
    </row>
    <row r="30" spans="1:9" x14ac:dyDescent="0.25">
      <c r="A30" s="31">
        <v>45455</v>
      </c>
      <c r="B30" s="55" t="s">
        <v>149</v>
      </c>
      <c r="C30" s="32">
        <f t="shared" si="0"/>
        <v>80.075999999999993</v>
      </c>
      <c r="D30" s="32">
        <f t="shared" si="1"/>
        <v>80.08</v>
      </c>
      <c r="E30" s="37">
        <v>400.38</v>
      </c>
      <c r="F30" s="37">
        <v>720.72</v>
      </c>
      <c r="G30" s="29">
        <v>7</v>
      </c>
      <c r="H30" s="29">
        <v>7</v>
      </c>
      <c r="I30" s="38"/>
    </row>
    <row r="31" spans="1:9" x14ac:dyDescent="0.25">
      <c r="A31" s="31">
        <v>45455</v>
      </c>
      <c r="B31" s="28" t="s">
        <v>179</v>
      </c>
      <c r="C31" s="32">
        <f t="shared" si="0"/>
        <v>18.809999999999999</v>
      </c>
      <c r="D31" s="32">
        <f t="shared" si="1"/>
        <v>18.82</v>
      </c>
      <c r="E31" s="37">
        <v>94.05</v>
      </c>
      <c r="F31" s="37">
        <v>169.38</v>
      </c>
      <c r="G31" s="29"/>
      <c r="H31" s="29"/>
      <c r="I31" s="38"/>
    </row>
    <row r="32" spans="1:9" x14ac:dyDescent="0.25">
      <c r="A32" s="31">
        <v>45455</v>
      </c>
      <c r="B32" s="28" t="s">
        <v>191</v>
      </c>
      <c r="C32" s="32">
        <f t="shared" si="0"/>
        <v>18.809999999999999</v>
      </c>
      <c r="D32" s="32">
        <f t="shared" si="1"/>
        <v>18.82</v>
      </c>
      <c r="E32" s="37">
        <v>94.05</v>
      </c>
      <c r="F32" s="37">
        <v>169.38</v>
      </c>
      <c r="G32" s="29">
        <v>2</v>
      </c>
      <c r="H32" s="29">
        <v>2</v>
      </c>
      <c r="I32" s="38"/>
    </row>
    <row r="33" spans="1:9" x14ac:dyDescent="0.25">
      <c r="A33" s="31">
        <v>45455</v>
      </c>
      <c r="B33" s="28" t="s">
        <v>181</v>
      </c>
      <c r="C33" s="32">
        <f t="shared" si="0"/>
        <v>18.809999999999999</v>
      </c>
      <c r="D33" s="32">
        <f t="shared" si="1"/>
        <v>18.82</v>
      </c>
      <c r="E33" s="37">
        <v>94.05</v>
      </c>
      <c r="F33" s="37">
        <v>169.38</v>
      </c>
      <c r="G33" s="29"/>
      <c r="H33" s="29"/>
      <c r="I33" s="38"/>
    </row>
    <row r="34" spans="1:9" x14ac:dyDescent="0.25">
      <c r="A34" s="31">
        <v>45455</v>
      </c>
      <c r="B34" s="28" t="s">
        <v>192</v>
      </c>
      <c r="C34" s="32">
        <f t="shared" si="0"/>
        <v>7.6</v>
      </c>
      <c r="D34" s="32">
        <f t="shared" si="1"/>
        <v>7.6000000000000005</v>
      </c>
      <c r="E34" s="37">
        <v>38</v>
      </c>
      <c r="F34" s="37">
        <v>68.400000000000006</v>
      </c>
      <c r="G34" s="29"/>
      <c r="H34" s="29"/>
      <c r="I34" s="38"/>
    </row>
    <row r="35" spans="1:9" x14ac:dyDescent="0.25">
      <c r="A35" s="31">
        <v>45455</v>
      </c>
      <c r="B35" s="29" t="s">
        <v>200</v>
      </c>
      <c r="C35" s="32">
        <f t="shared" si="0"/>
        <v>18.809999999999999</v>
      </c>
      <c r="D35" s="32">
        <f t="shared" si="1"/>
        <v>18.82</v>
      </c>
      <c r="E35" s="37">
        <v>94.05</v>
      </c>
      <c r="F35" s="37">
        <v>169.38</v>
      </c>
      <c r="G35" s="29"/>
      <c r="H35" s="29"/>
      <c r="I35" s="38"/>
    </row>
    <row r="36" spans="1:9" x14ac:dyDescent="0.25">
      <c r="A36" s="31">
        <v>45455</v>
      </c>
      <c r="B36" s="29" t="s">
        <v>199</v>
      </c>
      <c r="C36" s="32">
        <f t="shared" si="0"/>
        <v>18.809999999999999</v>
      </c>
      <c r="D36" s="32">
        <f t="shared" si="1"/>
        <v>18.82</v>
      </c>
      <c r="E36" s="37">
        <v>94.05</v>
      </c>
      <c r="F36" s="37">
        <v>169.38</v>
      </c>
      <c r="G36" s="29"/>
      <c r="H36" s="29"/>
      <c r="I36" s="38"/>
    </row>
    <row r="37" spans="1:9" x14ac:dyDescent="0.25">
      <c r="A37" s="31">
        <v>45455</v>
      </c>
      <c r="B37" s="29" t="s">
        <v>203</v>
      </c>
      <c r="C37" s="32">
        <f t="shared" si="0"/>
        <v>18.809999999999999</v>
      </c>
      <c r="D37" s="32">
        <f t="shared" si="1"/>
        <v>18.82</v>
      </c>
      <c r="E37" s="37">
        <v>94.05</v>
      </c>
      <c r="F37" s="37">
        <v>169.38</v>
      </c>
      <c r="G37" s="29"/>
      <c r="H37" s="29"/>
      <c r="I37" s="38"/>
    </row>
    <row r="38" spans="1:9" x14ac:dyDescent="0.25">
      <c r="A38" s="31">
        <v>45455</v>
      </c>
      <c r="B38" s="28" t="s">
        <v>155</v>
      </c>
      <c r="C38" s="32" t="str">
        <f t="shared" si="0"/>
        <v>SEM PEDAGIO</v>
      </c>
      <c r="D38" s="32" t="str">
        <f t="shared" si="1"/>
        <v>SEM PEDAGIO</v>
      </c>
      <c r="E38" s="37">
        <v>0</v>
      </c>
      <c r="F38" s="37">
        <v>0</v>
      </c>
      <c r="G38" s="29">
        <v>0</v>
      </c>
      <c r="H38" s="29">
        <v>0</v>
      </c>
      <c r="I38" s="38"/>
    </row>
    <row r="39" spans="1:9" x14ac:dyDescent="0.25">
      <c r="A39" s="31">
        <v>45455</v>
      </c>
      <c r="B39" s="29" t="s">
        <v>198</v>
      </c>
      <c r="C39" s="32" t="str">
        <f t="shared" si="0"/>
        <v>SEM PEDAGIO</v>
      </c>
      <c r="D39" s="32" t="str">
        <f t="shared" si="1"/>
        <v>SEM PEDAGIO</v>
      </c>
      <c r="E39" s="37">
        <v>0</v>
      </c>
      <c r="F39" s="37">
        <v>0</v>
      </c>
      <c r="G39" s="29">
        <v>0</v>
      </c>
      <c r="H39" s="29">
        <v>0</v>
      </c>
      <c r="I39" s="38"/>
    </row>
    <row r="40" spans="1:9" x14ac:dyDescent="0.25">
      <c r="A40" s="31">
        <v>45456</v>
      </c>
      <c r="B40" s="29" t="s">
        <v>215</v>
      </c>
      <c r="C40" s="32">
        <f t="shared" si="0"/>
        <v>16.236000000000001</v>
      </c>
      <c r="D40" s="32">
        <f t="shared" si="1"/>
        <v>24.144444444444446</v>
      </c>
      <c r="E40" s="39">
        <v>81.180000000000007</v>
      </c>
      <c r="F40" s="39">
        <v>217.3</v>
      </c>
      <c r="G40" s="29"/>
      <c r="H40" s="29"/>
      <c r="I40" s="38"/>
    </row>
    <row r="41" spans="1:9" x14ac:dyDescent="0.25">
      <c r="A41" s="31">
        <v>45456</v>
      </c>
      <c r="B41" s="29" t="s">
        <v>169</v>
      </c>
      <c r="C41" s="32">
        <f t="shared" si="0"/>
        <v>22.7</v>
      </c>
      <c r="D41" s="32">
        <f t="shared" si="1"/>
        <v>22.700000000000003</v>
      </c>
      <c r="E41" s="39">
        <v>113.5</v>
      </c>
      <c r="F41" s="40">
        <v>204.3</v>
      </c>
      <c r="G41" s="29"/>
      <c r="H41" s="29"/>
      <c r="I41" s="38"/>
    </row>
    <row r="42" spans="1:9" x14ac:dyDescent="0.25">
      <c r="A42" s="31">
        <v>45462</v>
      </c>
      <c r="B42" s="28" t="s">
        <v>42</v>
      </c>
      <c r="C42" s="32">
        <f t="shared" si="0"/>
        <v>69.602000000000004</v>
      </c>
      <c r="D42" s="32">
        <f t="shared" si="1"/>
        <v>69.601111111111109</v>
      </c>
      <c r="E42" s="37">
        <v>348.01</v>
      </c>
      <c r="F42" s="37">
        <v>626.41</v>
      </c>
      <c r="G42" s="29">
        <v>8</v>
      </c>
      <c r="H42" s="29">
        <v>8</v>
      </c>
      <c r="I42" s="38"/>
    </row>
    <row r="43" spans="1:9" x14ac:dyDescent="0.25">
      <c r="A43" s="31">
        <v>45462</v>
      </c>
      <c r="B43" s="29" t="s">
        <v>218</v>
      </c>
      <c r="C43" s="32">
        <f t="shared" si="0"/>
        <v>18.809999999999999</v>
      </c>
      <c r="D43" s="32">
        <f t="shared" si="1"/>
        <v>18.82</v>
      </c>
      <c r="E43" s="39">
        <v>94.05</v>
      </c>
      <c r="F43" s="39">
        <v>169.38</v>
      </c>
      <c r="G43" s="29">
        <v>2</v>
      </c>
      <c r="H43" s="29">
        <v>2</v>
      </c>
      <c r="I43" s="38"/>
    </row>
    <row r="44" spans="1:9" x14ac:dyDescent="0.25">
      <c r="A44" s="31">
        <v>45462</v>
      </c>
      <c r="B44" s="29" t="s">
        <v>219</v>
      </c>
      <c r="C44" s="32">
        <f t="shared" si="0"/>
        <v>31.1</v>
      </c>
      <c r="D44" s="32">
        <f t="shared" si="1"/>
        <v>31.095555555555556</v>
      </c>
      <c r="E44" s="39">
        <v>155.5</v>
      </c>
      <c r="F44" s="39">
        <v>279.86</v>
      </c>
      <c r="G44" s="29">
        <v>3</v>
      </c>
      <c r="H44" s="29">
        <v>3</v>
      </c>
      <c r="I44" s="38"/>
    </row>
    <row r="45" spans="1:9" x14ac:dyDescent="0.25">
      <c r="A45" s="31">
        <v>45462</v>
      </c>
      <c r="B45" s="29" t="s">
        <v>220</v>
      </c>
      <c r="C45" s="32" t="str">
        <f t="shared" si="0"/>
        <v>SEM PEDAGIO</v>
      </c>
      <c r="D45" s="32" t="str">
        <f t="shared" si="1"/>
        <v>SEM PEDAGIO</v>
      </c>
      <c r="E45" s="39">
        <v>0</v>
      </c>
      <c r="F45" s="39">
        <v>0</v>
      </c>
      <c r="G45" s="29">
        <v>0</v>
      </c>
      <c r="H45" s="29">
        <v>0</v>
      </c>
      <c r="I45" s="38"/>
    </row>
    <row r="46" spans="1:9" x14ac:dyDescent="0.25">
      <c r="A46" s="49">
        <v>45463</v>
      </c>
      <c r="B46" s="51" t="s">
        <v>225</v>
      </c>
      <c r="C46" s="32">
        <f t="shared" si="0"/>
        <v>24.9</v>
      </c>
      <c r="D46" s="32">
        <f t="shared" si="1"/>
        <v>24.9</v>
      </c>
      <c r="E46" s="43">
        <v>124.5</v>
      </c>
      <c r="F46" s="43">
        <v>224.1</v>
      </c>
      <c r="G46" s="35">
        <v>3</v>
      </c>
      <c r="H46" s="35">
        <v>3</v>
      </c>
    </row>
    <row r="47" spans="1:9" x14ac:dyDescent="0.25">
      <c r="A47" s="49">
        <v>45467</v>
      </c>
      <c r="B47" s="35" t="s">
        <v>226</v>
      </c>
      <c r="C47" s="32">
        <f t="shared" si="0"/>
        <v>7.9</v>
      </c>
      <c r="D47" s="32">
        <f t="shared" si="1"/>
        <v>7.8999999999999995</v>
      </c>
      <c r="E47" s="43">
        <v>39.5</v>
      </c>
      <c r="F47" s="43">
        <v>71.099999999999994</v>
      </c>
      <c r="G47" s="35">
        <v>1</v>
      </c>
      <c r="H47" s="35">
        <v>1</v>
      </c>
    </row>
    <row r="48" spans="1:9" x14ac:dyDescent="0.25">
      <c r="A48" s="49">
        <v>45467</v>
      </c>
      <c r="B48" s="35" t="s">
        <v>227</v>
      </c>
      <c r="C48" s="50">
        <f t="shared" ref="C48:C49" si="2">IF(ISNUMBER(E48),E48/5,"SEM PEDAGIO")</f>
        <v>32.1</v>
      </c>
      <c r="D48" s="50">
        <f t="shared" ref="D48:D49" si="3">IF(ISNUMBER(F48),F48/9,"SEM PEDAGIO")</f>
        <v>32.099999999999994</v>
      </c>
      <c r="E48" s="43">
        <v>160.5</v>
      </c>
      <c r="F48" s="43">
        <v>288.89999999999998</v>
      </c>
      <c r="G48" s="35">
        <v>4</v>
      </c>
      <c r="H48" s="35">
        <v>4</v>
      </c>
    </row>
    <row r="49" spans="1:8" x14ac:dyDescent="0.25">
      <c r="A49" s="49">
        <v>45467</v>
      </c>
      <c r="B49" s="35" t="s">
        <v>228</v>
      </c>
      <c r="C49" s="50"/>
      <c r="D49" s="50"/>
    </row>
    <row r="50" spans="1:8" x14ac:dyDescent="0.25">
      <c r="A50" s="49">
        <v>45467</v>
      </c>
      <c r="B50" s="35" t="s">
        <v>229</v>
      </c>
      <c r="C50" s="50"/>
      <c r="D50" s="50"/>
    </row>
    <row r="51" spans="1:8" x14ac:dyDescent="0.25">
      <c r="B51" s="41"/>
      <c r="C51" s="41"/>
      <c r="D51" s="41"/>
    </row>
    <row r="52" spans="1:8" x14ac:dyDescent="0.25">
      <c r="B52" s="41"/>
      <c r="C52" s="41"/>
      <c r="D52" s="41"/>
    </row>
    <row r="53" spans="1:8" x14ac:dyDescent="0.25">
      <c r="B53" s="41"/>
      <c r="C53" s="41"/>
      <c r="D53" s="41"/>
      <c r="E53" s="41"/>
      <c r="F53" s="41"/>
      <c r="G53" s="41"/>
      <c r="H53" s="41"/>
    </row>
    <row r="54" spans="1:8" x14ac:dyDescent="0.25">
      <c r="B54" s="34"/>
      <c r="C54" s="34"/>
      <c r="D54" s="34"/>
      <c r="E54" s="34"/>
      <c r="F54" s="34"/>
      <c r="G54" s="34"/>
      <c r="H54" s="34"/>
    </row>
    <row r="55" spans="1:8" x14ac:dyDescent="0.25">
      <c r="B55" s="34"/>
      <c r="C55" s="34"/>
      <c r="D55" s="34"/>
      <c r="E55" s="34"/>
      <c r="F55" s="34"/>
      <c r="G55" s="34"/>
      <c r="H55" s="34"/>
    </row>
    <row r="56" spans="1:8" x14ac:dyDescent="0.25">
      <c r="B56" s="34"/>
      <c r="C56" s="34"/>
      <c r="D56" s="34"/>
      <c r="E56" s="34"/>
      <c r="F56" s="34"/>
      <c r="G56" s="34"/>
      <c r="H56" s="34"/>
    </row>
    <row r="57" spans="1:8" x14ac:dyDescent="0.25">
      <c r="B57" s="34"/>
      <c r="C57" s="34"/>
      <c r="D57" s="34"/>
      <c r="E57" s="34"/>
      <c r="F57" s="34"/>
      <c r="G57" s="34"/>
      <c r="H57" s="34"/>
    </row>
    <row r="58" spans="1:8" x14ac:dyDescent="0.25">
      <c r="B58" s="34"/>
      <c r="C58" s="34"/>
      <c r="D58" s="34"/>
      <c r="E58" s="34"/>
      <c r="F58" s="34"/>
      <c r="G58" s="34"/>
      <c r="H58" s="34"/>
    </row>
    <row r="61" spans="1:8" x14ac:dyDescent="0.25">
      <c r="B61" s="34"/>
      <c r="C61" s="34"/>
      <c r="D61" s="34"/>
    </row>
    <row r="62" spans="1:8" x14ac:dyDescent="0.25">
      <c r="B62" s="34"/>
      <c r="C62" s="34"/>
      <c r="D62" s="34"/>
    </row>
    <row r="63" spans="1:8" x14ac:dyDescent="0.25">
      <c r="B63" s="34"/>
      <c r="C63" s="34"/>
      <c r="D63" s="34"/>
    </row>
    <row r="64" spans="1:8" x14ac:dyDescent="0.25">
      <c r="B64" s="34"/>
      <c r="C64" s="34"/>
      <c r="D64" s="34"/>
    </row>
    <row r="65" spans="2:4" x14ac:dyDescent="0.25">
      <c r="B65" s="34"/>
      <c r="C65" s="34"/>
      <c r="D65" s="34"/>
    </row>
  </sheetData>
  <mergeCells count="1">
    <mergeCell ref="A1:I2"/>
  </mergeCells>
  <hyperlinks>
    <hyperlink ref="B4" r:id="rId1" xr:uid="{7C7CB8BC-D04D-4517-9962-6EDBB36C9EBE}"/>
    <hyperlink ref="B5" r:id="rId2" xr:uid="{275AC022-3294-473A-81A4-30F188C73FAB}"/>
    <hyperlink ref="B6" r:id="rId3" xr:uid="{B189C137-4455-4E30-9E96-3821E67F374F}"/>
    <hyperlink ref="B7" r:id="rId4" xr:uid="{FB8DAA62-96A6-4045-9964-8163C749A8CA}"/>
    <hyperlink ref="B8" r:id="rId5" xr:uid="{BDB139DC-D880-4DA4-A65A-EEA7677F21E5}"/>
    <hyperlink ref="B9" r:id="rId6" xr:uid="{6520D866-DC70-41AC-A052-CA5890D849B7}"/>
    <hyperlink ref="B10" r:id="rId7" xr:uid="{D2F0F5A2-B50F-480B-8AFC-394F4FACC70C}"/>
    <hyperlink ref="B11" r:id="rId8" xr:uid="{D5321D2D-5C0C-488D-8707-BCEBD7DBA89E}"/>
    <hyperlink ref="B12" r:id="rId9" xr:uid="{8C6CCE75-F341-44BC-B453-2F9323DC7308}"/>
    <hyperlink ref="B13" r:id="rId10" xr:uid="{3E2311C1-895C-4172-A4BE-A629745D15F1}"/>
    <hyperlink ref="B14" r:id="rId11" xr:uid="{2A491E7B-3EBF-457C-951B-26BE0ED29B8A}"/>
    <hyperlink ref="B15" r:id="rId12" xr:uid="{217C6584-BAFA-40AC-9CAD-2F71FDBE2BD5}"/>
    <hyperlink ref="B16" r:id="rId13" xr:uid="{9B106129-4DAE-4A23-BB19-32B859F9C9E6}"/>
    <hyperlink ref="B17" r:id="rId14" xr:uid="{C436E598-F781-4DB5-B212-BB4AA5731C63}"/>
    <hyperlink ref="B19" r:id="rId15" xr:uid="{B4BD8C00-0DBC-40E0-B51C-B869920D3209}"/>
    <hyperlink ref="B20" r:id="rId16" xr:uid="{22CDDC4E-BD60-44F0-8D00-2F9D41AB33DD}"/>
    <hyperlink ref="B21" r:id="rId17" xr:uid="{5A3F2564-9755-45E8-A3E6-1C145FF3A51E}"/>
    <hyperlink ref="B22" r:id="rId18" xr:uid="{6F675B3D-80DB-46CF-AD79-8122370AAFD2}"/>
    <hyperlink ref="B23" r:id="rId19" xr:uid="{AD09C72B-11BE-463A-88B9-44F9E9267827}"/>
    <hyperlink ref="B24" r:id="rId20" xr:uid="{B2825EE1-E5EC-43DC-A197-E44E31531982}"/>
    <hyperlink ref="B26" r:id="rId21" xr:uid="{280B2B61-5131-4962-85AE-9260CF335031}"/>
    <hyperlink ref="B28" r:id="rId22" xr:uid="{11437E6C-4FE5-4A4E-AD12-B889029B7762}"/>
    <hyperlink ref="B46" r:id="rId23" xr:uid="{AE99FA79-4ACD-4BD3-841F-A1ECFC2F16EC}"/>
    <hyperlink ref="B30" r:id="rId24" xr:uid="{ADA93E0B-FB60-4D7A-950D-230EB0F1D9CF}"/>
  </hyperlinks>
  <pageMargins left="0.511811024" right="0.511811024" top="0.78740157499999996" bottom="0.78740157499999996" header="0.31496062000000002" footer="0.31496062000000002"/>
  <pageSetup paperSize="9" orientation="portrait" r:id="rId25"/>
  <drawing r:id="rId26"/>
  <tableParts count="1">
    <tablePart r:id="rId27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28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814CA-FBA1-4BA1-8C55-6B75F6D52621}">
  <sheetPr codeName="Planilha1"/>
  <dimension ref="A2:P257"/>
  <sheetViews>
    <sheetView showGridLines="0" zoomScaleNormal="100" workbookViewId="0">
      <selection activeCell="C191" sqref="C191:G203"/>
    </sheetView>
  </sheetViews>
  <sheetFormatPr defaultRowHeight="15" x14ac:dyDescent="0.25"/>
  <cols>
    <col min="3" max="3" width="36.42578125" bestFit="1" customWidth="1"/>
    <col min="4" max="4" width="14.7109375" bestFit="1" customWidth="1"/>
    <col min="5" max="5" width="16.85546875" bestFit="1" customWidth="1"/>
    <col min="6" max="7" width="14.140625" style="12" bestFit="1" customWidth="1"/>
    <col min="9" max="9" width="21.85546875" bestFit="1" customWidth="1"/>
    <col min="10" max="10" width="30.85546875" bestFit="1" customWidth="1"/>
    <col min="11" max="11" width="15.42578125" bestFit="1" customWidth="1"/>
    <col min="12" max="12" width="19.7109375" customWidth="1"/>
    <col min="13" max="13" width="12.85546875" bestFit="1" customWidth="1"/>
    <col min="14" max="14" width="15.42578125" bestFit="1" customWidth="1"/>
    <col min="15" max="15" width="22.5703125" bestFit="1" customWidth="1"/>
    <col min="16" max="16" width="12" bestFit="1" customWidth="1"/>
  </cols>
  <sheetData>
    <row r="2" spans="3:7" x14ac:dyDescent="0.25">
      <c r="C2" s="1" t="s">
        <v>27</v>
      </c>
      <c r="D2" s="1" t="s">
        <v>0</v>
      </c>
      <c r="E2" s="1" t="s">
        <v>1</v>
      </c>
      <c r="F2" s="13" t="s">
        <v>160</v>
      </c>
      <c r="G2" s="13" t="s">
        <v>161</v>
      </c>
    </row>
    <row r="3" spans="3:7" x14ac:dyDescent="0.25">
      <c r="C3" s="2" t="s">
        <v>146</v>
      </c>
      <c r="D3" s="5">
        <v>0</v>
      </c>
      <c r="E3" s="5">
        <v>0</v>
      </c>
      <c r="G3" s="13"/>
    </row>
    <row r="4" spans="3:7" x14ac:dyDescent="0.25">
      <c r="C4" s="7" t="s">
        <v>130</v>
      </c>
      <c r="D4" s="5">
        <f>IF(ISNUMBER(F4), F4/5, "SEM PEDAGIO")</f>
        <v>85.92</v>
      </c>
      <c r="E4" s="5">
        <f>IF(ISNUMBER(G4), G4/9, "SEM PEDAGIO")</f>
        <v>85.926666666666677</v>
      </c>
      <c r="F4" s="13">
        <v>429.6</v>
      </c>
      <c r="G4" s="13">
        <v>773.34</v>
      </c>
    </row>
    <row r="5" spans="3:7" x14ac:dyDescent="0.25">
      <c r="C5" s="2" t="s">
        <v>100</v>
      </c>
      <c r="D5" s="5">
        <f>IF(ISNUMBER(F5), F5/5, "SEM PEDAGIO")</f>
        <v>7.6</v>
      </c>
      <c r="E5" s="5">
        <f>IF(ISNUMBER(G5), G5/9, "SEM PEDAGIO")</f>
        <v>7.6000000000000005</v>
      </c>
      <c r="F5" s="13">
        <v>38</v>
      </c>
      <c r="G5" s="13">
        <v>68.400000000000006</v>
      </c>
    </row>
    <row r="6" spans="3:7" x14ac:dyDescent="0.25">
      <c r="C6" s="2" t="s">
        <v>92</v>
      </c>
      <c r="D6" s="5">
        <v>14.438333333333333</v>
      </c>
      <c r="E6" s="5">
        <v>14.436000000000002</v>
      </c>
      <c r="F6" s="13"/>
      <c r="G6" s="13"/>
    </row>
    <row r="7" spans="3:7" x14ac:dyDescent="0.25">
      <c r="C7" s="2" t="s">
        <v>141</v>
      </c>
      <c r="D7" s="5">
        <f>603.9/9</f>
        <v>67.099999999999994</v>
      </c>
      <c r="E7" s="5">
        <f>603.9/9</f>
        <v>67.099999999999994</v>
      </c>
      <c r="F7" s="13"/>
      <c r="G7" s="13"/>
    </row>
    <row r="8" spans="3:7" x14ac:dyDescent="0.25">
      <c r="C8" s="3" t="s">
        <v>43</v>
      </c>
      <c r="D8" s="4">
        <v>22.7</v>
      </c>
      <c r="E8" s="4">
        <v>22.7</v>
      </c>
      <c r="F8" s="13"/>
      <c r="G8" s="13"/>
    </row>
    <row r="9" spans="3:7" x14ac:dyDescent="0.25">
      <c r="C9" s="3" t="s">
        <v>83</v>
      </c>
      <c r="D9" s="4">
        <v>0</v>
      </c>
      <c r="E9" s="4">
        <v>0</v>
      </c>
      <c r="F9" s="13"/>
      <c r="G9" s="13"/>
    </row>
    <row r="10" spans="3:7" x14ac:dyDescent="0.25">
      <c r="C10" s="2" t="s">
        <v>112</v>
      </c>
      <c r="D10" s="5">
        <v>0</v>
      </c>
      <c r="E10" s="5">
        <v>0</v>
      </c>
      <c r="F10" s="13"/>
      <c r="G10" s="13"/>
    </row>
    <row r="11" spans="3:7" x14ac:dyDescent="0.25">
      <c r="C11" s="2" t="s">
        <v>25</v>
      </c>
      <c r="D11" s="5">
        <v>22.7</v>
      </c>
      <c r="E11" s="5">
        <v>22.7</v>
      </c>
      <c r="F11" s="13"/>
      <c r="G11" s="13"/>
    </row>
    <row r="12" spans="3:7" x14ac:dyDescent="0.25">
      <c r="C12" s="2" t="s">
        <v>94</v>
      </c>
      <c r="D12" s="5">
        <v>67.100000000000009</v>
      </c>
      <c r="E12" s="5">
        <v>67.100000000000009</v>
      </c>
      <c r="F12" s="13"/>
      <c r="G12" s="13"/>
    </row>
    <row r="13" spans="3:7" x14ac:dyDescent="0.25">
      <c r="C13" s="2" t="s">
        <v>2</v>
      </c>
      <c r="D13" s="5">
        <v>22.7</v>
      </c>
      <c r="E13" s="5">
        <v>22.7</v>
      </c>
      <c r="F13" s="13"/>
      <c r="G13" s="13"/>
    </row>
    <row r="14" spans="3:7" x14ac:dyDescent="0.25">
      <c r="C14" s="2" t="s">
        <v>98</v>
      </c>
      <c r="D14" s="5">
        <v>38.373333333333335</v>
      </c>
      <c r="E14" s="5">
        <v>38.373333333333335</v>
      </c>
      <c r="F14" s="13"/>
      <c r="G14" s="13"/>
    </row>
    <row r="15" spans="3:7" x14ac:dyDescent="0.25">
      <c r="C15" s="2" t="s">
        <v>65</v>
      </c>
      <c r="D15" s="5">
        <v>14.9</v>
      </c>
      <c r="E15" s="5">
        <v>14.9</v>
      </c>
      <c r="F15" s="13"/>
      <c r="G15" s="13"/>
    </row>
    <row r="16" spans="3:7" x14ac:dyDescent="0.25">
      <c r="C16" s="2" t="s">
        <v>62</v>
      </c>
      <c r="D16" s="5">
        <v>14.9</v>
      </c>
      <c r="E16" s="5">
        <v>14.9</v>
      </c>
      <c r="F16" s="13"/>
      <c r="G16" s="13"/>
    </row>
    <row r="17" spans="3:7" s="6" customFormat="1" x14ac:dyDescent="0.25">
      <c r="C17" s="3" t="s">
        <v>81</v>
      </c>
      <c r="D17" s="4">
        <v>0</v>
      </c>
      <c r="E17" s="4">
        <v>0</v>
      </c>
      <c r="F17" s="4"/>
      <c r="G17" s="4"/>
    </row>
    <row r="18" spans="3:7" x14ac:dyDescent="0.25">
      <c r="C18" s="2" t="s">
        <v>59</v>
      </c>
      <c r="D18" s="5">
        <v>31.4</v>
      </c>
      <c r="E18" s="5">
        <v>31.4</v>
      </c>
      <c r="F18" s="13"/>
      <c r="G18" s="13"/>
    </row>
    <row r="19" spans="3:7" x14ac:dyDescent="0.25">
      <c r="C19" s="2" t="s">
        <v>58</v>
      </c>
      <c r="D19" s="5">
        <v>31.4</v>
      </c>
      <c r="E19" s="5">
        <v>31.4</v>
      </c>
      <c r="F19" s="13"/>
      <c r="G19" s="13"/>
    </row>
    <row r="20" spans="3:7" x14ac:dyDescent="0.25">
      <c r="C20" s="2" t="s">
        <v>119</v>
      </c>
      <c r="D20" s="5">
        <v>86.1</v>
      </c>
      <c r="E20" s="5">
        <v>76.5</v>
      </c>
      <c r="F20" s="13"/>
      <c r="G20" s="13"/>
    </row>
    <row r="21" spans="3:7" x14ac:dyDescent="0.25">
      <c r="C21" s="2" t="s">
        <v>110</v>
      </c>
      <c r="D21" s="5">
        <v>67.100000000000009</v>
      </c>
      <c r="E21" s="5">
        <v>67.099999999999994</v>
      </c>
      <c r="F21" s="13"/>
      <c r="G21" s="13"/>
    </row>
    <row r="22" spans="3:7" x14ac:dyDescent="0.25">
      <c r="C22" s="2" t="s">
        <v>104</v>
      </c>
      <c r="D22" s="5">
        <v>16.899999999999999</v>
      </c>
      <c r="E22" s="5">
        <v>16.900000000000002</v>
      </c>
      <c r="F22" s="13"/>
      <c r="G22" s="13"/>
    </row>
    <row r="23" spans="3:7" x14ac:dyDescent="0.25">
      <c r="C23" s="2" t="s">
        <v>121</v>
      </c>
      <c r="D23" s="5">
        <v>16.899999999999999</v>
      </c>
      <c r="E23" s="5">
        <v>16.899999999999999</v>
      </c>
      <c r="F23" s="13"/>
      <c r="G23" s="13"/>
    </row>
    <row r="24" spans="3:7" x14ac:dyDescent="0.25">
      <c r="C24" s="7" t="s">
        <v>126</v>
      </c>
      <c r="D24" s="5">
        <v>15.4</v>
      </c>
      <c r="E24" s="5">
        <v>15.4</v>
      </c>
      <c r="F24" s="13"/>
      <c r="G24" s="13"/>
    </row>
    <row r="25" spans="3:7" x14ac:dyDescent="0.25">
      <c r="C25" s="3" t="s">
        <v>44</v>
      </c>
      <c r="D25" s="4">
        <v>20.11</v>
      </c>
      <c r="E25" s="4">
        <v>20.11</v>
      </c>
      <c r="F25" s="13"/>
      <c r="G25" s="13"/>
    </row>
    <row r="26" spans="3:7" x14ac:dyDescent="0.25">
      <c r="C26" s="3" t="s">
        <v>79</v>
      </c>
      <c r="D26" s="4">
        <v>20.115714285714287</v>
      </c>
      <c r="E26" s="4">
        <v>20.12</v>
      </c>
      <c r="F26" s="13"/>
      <c r="G26" s="13"/>
    </row>
    <row r="27" spans="3:7" x14ac:dyDescent="0.25">
      <c r="C27" s="2" t="s">
        <v>66</v>
      </c>
      <c r="D27" s="5">
        <v>17.366</v>
      </c>
      <c r="E27" s="5">
        <v>17.366</v>
      </c>
      <c r="F27" s="13"/>
      <c r="G27" s="13"/>
    </row>
    <row r="28" spans="3:7" x14ac:dyDescent="0.25">
      <c r="C28" s="2" t="s">
        <v>3</v>
      </c>
      <c r="D28" s="5">
        <v>22.7</v>
      </c>
      <c r="E28" s="5">
        <v>22.7</v>
      </c>
      <c r="F28" s="13"/>
      <c r="G28" s="13"/>
    </row>
    <row r="29" spans="3:7" x14ac:dyDescent="0.25">
      <c r="C29" s="2" t="s">
        <v>131</v>
      </c>
      <c r="D29" s="5">
        <v>16.899999999999999</v>
      </c>
      <c r="E29" s="5">
        <v>16.899999999999999</v>
      </c>
      <c r="F29" s="13"/>
      <c r="G29" s="13"/>
    </row>
    <row r="30" spans="3:7" x14ac:dyDescent="0.25">
      <c r="C30" s="3" t="s">
        <v>45</v>
      </c>
      <c r="D30" s="4">
        <v>15.4</v>
      </c>
      <c r="E30" s="4">
        <v>15.4</v>
      </c>
      <c r="F30" s="13"/>
      <c r="G30" s="13"/>
    </row>
    <row r="31" spans="3:7" x14ac:dyDescent="0.25">
      <c r="C31" s="3" t="s">
        <v>31</v>
      </c>
      <c r="D31" s="4">
        <v>23.641999999999999</v>
      </c>
      <c r="E31" s="4">
        <v>23.641999999999999</v>
      </c>
      <c r="F31" s="13"/>
      <c r="G31" s="13"/>
    </row>
    <row r="32" spans="3:7" x14ac:dyDescent="0.25">
      <c r="C32" s="3" t="s">
        <v>60</v>
      </c>
      <c r="D32" s="4">
        <v>49.9</v>
      </c>
      <c r="E32" s="4">
        <v>49.9</v>
      </c>
      <c r="F32" s="13"/>
      <c r="G32" s="13"/>
    </row>
    <row r="33" spans="3:7" x14ac:dyDescent="0.25">
      <c r="C33" s="2" t="s">
        <v>147</v>
      </c>
      <c r="D33" s="5">
        <f>138.6/9</f>
        <v>15.399999999999999</v>
      </c>
      <c r="E33" s="5">
        <f>138.6/9</f>
        <v>15.399999999999999</v>
      </c>
      <c r="F33" s="13"/>
      <c r="G33" s="13"/>
    </row>
    <row r="34" spans="3:7" x14ac:dyDescent="0.25">
      <c r="C34" s="2" t="s">
        <v>4</v>
      </c>
      <c r="D34" s="5">
        <v>7.9</v>
      </c>
      <c r="E34" s="5">
        <v>7.9</v>
      </c>
      <c r="F34" s="13"/>
      <c r="G34" s="13"/>
    </row>
    <row r="35" spans="3:7" x14ac:dyDescent="0.25">
      <c r="C35" s="2" t="s">
        <v>5</v>
      </c>
      <c r="D35" s="8">
        <v>18.52</v>
      </c>
      <c r="E35" s="8">
        <v>18.52</v>
      </c>
      <c r="F35" s="13"/>
      <c r="G35" s="13"/>
    </row>
    <row r="36" spans="3:7" x14ac:dyDescent="0.25">
      <c r="C36" s="2" t="s">
        <v>103</v>
      </c>
      <c r="D36" s="5">
        <v>22.481666666666666</v>
      </c>
      <c r="E36" s="5">
        <v>22.481666666666666</v>
      </c>
      <c r="F36" s="13"/>
      <c r="G36" s="13"/>
    </row>
    <row r="37" spans="3:7" x14ac:dyDescent="0.25">
      <c r="C37" s="2" t="s">
        <v>133</v>
      </c>
      <c r="D37" s="8">
        <v>0</v>
      </c>
      <c r="E37" s="8">
        <v>0</v>
      </c>
      <c r="F37" s="13"/>
      <c r="G37" s="13"/>
    </row>
    <row r="38" spans="3:7" x14ac:dyDescent="0.25">
      <c r="C38" s="2" t="s">
        <v>136</v>
      </c>
      <c r="D38" s="5">
        <v>32.4</v>
      </c>
      <c r="E38" s="5">
        <v>32.4</v>
      </c>
      <c r="F38" s="13"/>
      <c r="G38" s="13"/>
    </row>
    <row r="39" spans="3:7" x14ac:dyDescent="0.25">
      <c r="C39" s="2" t="s">
        <v>109</v>
      </c>
      <c r="D39" s="4">
        <v>18.41888888888889</v>
      </c>
      <c r="E39" s="4">
        <v>18.41888888888889</v>
      </c>
      <c r="F39" s="13"/>
      <c r="G39" s="13"/>
    </row>
    <row r="40" spans="3:7" x14ac:dyDescent="0.25">
      <c r="C40" s="2" t="s">
        <v>6</v>
      </c>
      <c r="D40" s="8">
        <v>7.6</v>
      </c>
      <c r="E40" s="8">
        <v>7.6</v>
      </c>
      <c r="F40" s="13"/>
      <c r="G40" s="13"/>
    </row>
    <row r="41" spans="3:7" x14ac:dyDescent="0.25">
      <c r="C41" s="2" t="s">
        <v>140</v>
      </c>
      <c r="D41" s="5">
        <v>7.6</v>
      </c>
      <c r="E41" s="5">
        <v>7.6</v>
      </c>
      <c r="F41" s="13"/>
      <c r="G41" s="13"/>
    </row>
    <row r="42" spans="3:7" x14ac:dyDescent="0.25">
      <c r="C42" s="3" t="s">
        <v>38</v>
      </c>
      <c r="D42" s="4">
        <v>0</v>
      </c>
      <c r="E42" s="4">
        <v>0</v>
      </c>
      <c r="F42" s="13"/>
      <c r="G42" s="13"/>
    </row>
    <row r="43" spans="3:7" x14ac:dyDescent="0.25">
      <c r="C43" s="3" t="s">
        <v>80</v>
      </c>
      <c r="D43" s="4">
        <v>22.7</v>
      </c>
      <c r="E43" s="4">
        <v>22.7</v>
      </c>
      <c r="F43" s="13"/>
      <c r="G43" s="13"/>
    </row>
    <row r="44" spans="3:7" x14ac:dyDescent="0.25">
      <c r="C44" s="2" t="s">
        <v>7</v>
      </c>
      <c r="D44" s="8">
        <v>7.6</v>
      </c>
      <c r="E44" s="8">
        <v>7.6</v>
      </c>
      <c r="F44" s="13"/>
      <c r="G44" s="13"/>
    </row>
    <row r="45" spans="3:7" x14ac:dyDescent="0.25">
      <c r="C45" s="3" t="s">
        <v>77</v>
      </c>
      <c r="D45" s="4">
        <v>0</v>
      </c>
      <c r="E45" s="4">
        <v>0</v>
      </c>
      <c r="F45" s="13"/>
      <c r="G45" s="13"/>
    </row>
    <row r="46" spans="3:7" x14ac:dyDescent="0.25">
      <c r="C46" s="2" t="s">
        <v>75</v>
      </c>
      <c r="D46" s="4">
        <v>0</v>
      </c>
      <c r="E46" s="4">
        <v>0</v>
      </c>
      <c r="F46" s="13"/>
      <c r="G46" s="13"/>
    </row>
    <row r="47" spans="3:7" x14ac:dyDescent="0.25">
      <c r="C47" s="2" t="s">
        <v>113</v>
      </c>
      <c r="D47" s="5">
        <v>0</v>
      </c>
      <c r="E47" s="5">
        <v>0</v>
      </c>
      <c r="F47" s="13"/>
      <c r="G47" s="13"/>
    </row>
    <row r="48" spans="3:7" x14ac:dyDescent="0.25">
      <c r="C48" s="3" t="s">
        <v>84</v>
      </c>
      <c r="D48" s="4">
        <v>25.838571428571431</v>
      </c>
      <c r="E48" s="4">
        <v>25.842000000000002</v>
      </c>
      <c r="F48" s="13"/>
      <c r="G48" s="13"/>
    </row>
    <row r="49" spans="3:7" x14ac:dyDescent="0.25">
      <c r="C49" s="2" t="s">
        <v>99</v>
      </c>
      <c r="D49" s="5">
        <v>15.4</v>
      </c>
      <c r="E49" s="5">
        <v>15.4</v>
      </c>
      <c r="F49" s="13"/>
      <c r="G49" s="13"/>
    </row>
    <row r="50" spans="3:7" x14ac:dyDescent="0.25">
      <c r="C50" s="3" t="s">
        <v>32</v>
      </c>
      <c r="D50" s="4">
        <v>21.64</v>
      </c>
      <c r="E50" s="4">
        <v>21.64</v>
      </c>
      <c r="F50" s="13"/>
      <c r="G50" s="13"/>
    </row>
    <row r="51" spans="3:7" x14ac:dyDescent="0.25">
      <c r="C51" s="2" t="s">
        <v>114</v>
      </c>
      <c r="D51" s="5">
        <v>7.6000000000000005</v>
      </c>
      <c r="E51" s="5">
        <v>18.41888888888889</v>
      </c>
      <c r="F51" s="13"/>
      <c r="G51" s="13"/>
    </row>
    <row r="52" spans="3:7" x14ac:dyDescent="0.25">
      <c r="C52" s="2" t="s">
        <v>115</v>
      </c>
      <c r="D52" s="5">
        <v>7.6000000000000005</v>
      </c>
      <c r="E52" s="5">
        <v>18.41888888888889</v>
      </c>
      <c r="F52" s="13"/>
      <c r="G52" s="13"/>
    </row>
    <row r="53" spans="3:7" x14ac:dyDescent="0.25">
      <c r="C53" s="3" t="s">
        <v>57</v>
      </c>
      <c r="D53" s="4">
        <v>16.900000000000002</v>
      </c>
      <c r="E53" s="4">
        <v>16.900000000000002</v>
      </c>
      <c r="F53" s="13"/>
      <c r="G53" s="13"/>
    </row>
    <row r="54" spans="3:7" x14ac:dyDescent="0.25">
      <c r="C54" s="2" t="s">
        <v>95</v>
      </c>
      <c r="D54" s="5">
        <v>14.438333333333333</v>
      </c>
      <c r="E54" s="5">
        <v>14.438333333333333</v>
      </c>
      <c r="F54" s="13"/>
      <c r="G54" s="13"/>
    </row>
    <row r="55" spans="3:7" x14ac:dyDescent="0.25">
      <c r="C55" s="2" t="s">
        <v>90</v>
      </c>
      <c r="D55" s="5">
        <v>26</v>
      </c>
      <c r="E55" s="5">
        <v>26</v>
      </c>
      <c r="F55" s="13"/>
      <c r="G55" s="13"/>
    </row>
    <row r="56" spans="3:7" x14ac:dyDescent="0.25">
      <c r="C56" s="3" t="s">
        <v>55</v>
      </c>
      <c r="D56" s="4">
        <v>0</v>
      </c>
      <c r="E56" s="4">
        <v>0</v>
      </c>
      <c r="F56" s="13"/>
      <c r="G56" s="13"/>
    </row>
    <row r="57" spans="3:7" x14ac:dyDescent="0.25">
      <c r="C57" s="3" t="s">
        <v>46</v>
      </c>
      <c r="D57" s="4">
        <v>36.79</v>
      </c>
      <c r="E57" s="4">
        <v>36.79</v>
      </c>
      <c r="F57" s="13"/>
      <c r="G57" s="13"/>
    </row>
    <row r="58" spans="3:7" x14ac:dyDescent="0.25">
      <c r="C58" s="2" t="s">
        <v>139</v>
      </c>
      <c r="D58" s="5">
        <v>18.41</v>
      </c>
      <c r="E58" s="5">
        <v>18.41</v>
      </c>
      <c r="F58" s="13"/>
      <c r="G58" s="13"/>
    </row>
    <row r="59" spans="3:7" x14ac:dyDescent="0.25">
      <c r="C59" s="2" t="s">
        <v>8</v>
      </c>
      <c r="D59" s="8">
        <v>7.6</v>
      </c>
      <c r="E59" s="8">
        <v>7.6</v>
      </c>
      <c r="F59" s="13"/>
      <c r="G59" s="13"/>
    </row>
    <row r="60" spans="3:7" x14ac:dyDescent="0.25">
      <c r="C60" s="3" t="s">
        <v>33</v>
      </c>
      <c r="D60" s="4">
        <v>33.738</v>
      </c>
      <c r="E60" s="4">
        <v>33.738</v>
      </c>
      <c r="F60" s="13"/>
      <c r="G60" s="13"/>
    </row>
    <row r="61" spans="3:7" x14ac:dyDescent="0.25">
      <c r="C61" s="3" t="s">
        <v>85</v>
      </c>
      <c r="D61" s="4">
        <v>36.801428571428573</v>
      </c>
      <c r="E61" s="4">
        <v>36.801428571428573</v>
      </c>
      <c r="F61" s="13"/>
      <c r="G61" s="13"/>
    </row>
    <row r="62" spans="3:7" x14ac:dyDescent="0.25">
      <c r="C62" s="2" t="s">
        <v>9</v>
      </c>
      <c r="D62" s="8">
        <v>7.9</v>
      </c>
      <c r="E62" s="8">
        <v>7.9</v>
      </c>
      <c r="F62" s="13"/>
      <c r="G62" s="13"/>
    </row>
    <row r="63" spans="3:7" x14ac:dyDescent="0.25">
      <c r="C63" s="2" t="s">
        <v>10</v>
      </c>
      <c r="D63" s="8">
        <v>29.98</v>
      </c>
      <c r="E63" s="8">
        <v>29.98</v>
      </c>
      <c r="F63" s="13"/>
      <c r="G63" s="13"/>
    </row>
    <row r="64" spans="3:7" x14ac:dyDescent="0.25">
      <c r="C64" s="3" t="s">
        <v>29</v>
      </c>
      <c r="D64" s="4">
        <v>22.7</v>
      </c>
      <c r="E64" s="4">
        <v>22.7</v>
      </c>
      <c r="F64" s="13"/>
      <c r="G64" s="13"/>
    </row>
    <row r="65" spans="3:7" x14ac:dyDescent="0.25">
      <c r="C65" s="2" t="s">
        <v>69</v>
      </c>
      <c r="D65" s="5">
        <v>46.77</v>
      </c>
      <c r="E65" s="5">
        <v>46.768000000000001</v>
      </c>
      <c r="F65" s="13"/>
      <c r="G65" s="13"/>
    </row>
    <row r="66" spans="3:7" x14ac:dyDescent="0.25">
      <c r="C66" s="7" t="s">
        <v>134</v>
      </c>
      <c r="D66" s="5">
        <v>7.6</v>
      </c>
      <c r="E66" s="5">
        <v>7.6</v>
      </c>
      <c r="F66" s="13"/>
      <c r="G66" s="13"/>
    </row>
    <row r="67" spans="3:7" x14ac:dyDescent="0.25">
      <c r="C67" s="2" t="s">
        <v>117</v>
      </c>
      <c r="D67" s="5">
        <v>22.700000000000003</v>
      </c>
      <c r="E67" s="5">
        <v>22.700000000000003</v>
      </c>
      <c r="F67" s="13"/>
      <c r="G67" s="13"/>
    </row>
    <row r="68" spans="3:7" x14ac:dyDescent="0.25">
      <c r="C68" s="3" t="s">
        <v>41</v>
      </c>
      <c r="D68" s="4">
        <v>18.41</v>
      </c>
      <c r="E68" s="4">
        <v>18.41</v>
      </c>
      <c r="F68" s="13"/>
      <c r="G68" s="13"/>
    </row>
    <row r="69" spans="3:7" x14ac:dyDescent="0.25">
      <c r="C69" s="3" t="s">
        <v>28</v>
      </c>
      <c r="D69" s="4">
        <v>15.4</v>
      </c>
      <c r="E69" s="4">
        <v>15.4</v>
      </c>
      <c r="F69" s="13"/>
      <c r="G69" s="13"/>
    </row>
    <row r="70" spans="3:7" x14ac:dyDescent="0.25">
      <c r="C70" s="3" t="s">
        <v>47</v>
      </c>
      <c r="D70" s="4">
        <v>18.41</v>
      </c>
      <c r="E70" s="4">
        <v>18.41</v>
      </c>
      <c r="F70" s="13"/>
      <c r="G70" s="13"/>
    </row>
    <row r="71" spans="3:7" x14ac:dyDescent="0.25">
      <c r="C71" s="7" t="s">
        <v>127</v>
      </c>
      <c r="D71" s="5">
        <v>24.14</v>
      </c>
      <c r="E71" s="5">
        <v>24.14</v>
      </c>
      <c r="F71" s="13"/>
      <c r="G71" s="13"/>
    </row>
    <row r="72" spans="3:7" x14ac:dyDescent="0.25">
      <c r="C72" s="7" t="s">
        <v>128</v>
      </c>
      <c r="D72" s="5">
        <v>7.6</v>
      </c>
      <c r="E72" s="5">
        <v>7.6</v>
      </c>
      <c r="F72" s="13"/>
      <c r="G72" s="13"/>
    </row>
    <row r="73" spans="3:7" x14ac:dyDescent="0.25">
      <c r="C73" s="3" t="s">
        <v>89</v>
      </c>
      <c r="D73" s="4">
        <v>24.900000000000002</v>
      </c>
      <c r="E73" s="4">
        <v>24.9</v>
      </c>
      <c r="F73" s="13"/>
      <c r="G73" s="13"/>
    </row>
    <row r="74" spans="3:7" x14ac:dyDescent="0.25">
      <c r="C74" s="2" t="s">
        <v>11</v>
      </c>
      <c r="D74" s="8">
        <v>23.64</v>
      </c>
      <c r="E74" s="8">
        <v>23.64</v>
      </c>
      <c r="F74" s="13"/>
      <c r="G74" s="13"/>
    </row>
    <row r="75" spans="3:7" x14ac:dyDescent="0.25">
      <c r="C75" s="2" t="s">
        <v>101</v>
      </c>
      <c r="D75" s="8">
        <v>67.100000000000009</v>
      </c>
      <c r="E75" s="8">
        <v>67.099999999999994</v>
      </c>
      <c r="F75" s="13"/>
      <c r="G75" s="13"/>
    </row>
    <row r="76" spans="3:7" x14ac:dyDescent="0.25">
      <c r="C76" s="3" t="s">
        <v>78</v>
      </c>
      <c r="D76" s="4">
        <v>0</v>
      </c>
      <c r="E76" s="4">
        <v>0</v>
      </c>
      <c r="F76" s="13"/>
      <c r="G76" s="13"/>
    </row>
    <row r="77" spans="3:7" x14ac:dyDescent="0.25">
      <c r="C77" s="7" t="s">
        <v>129</v>
      </c>
      <c r="D77" s="5">
        <v>22.7</v>
      </c>
      <c r="E77" s="5">
        <v>22.7</v>
      </c>
      <c r="F77" s="13"/>
      <c r="G77" s="13"/>
    </row>
    <row r="78" spans="3:7" x14ac:dyDescent="0.25">
      <c r="C78" s="7" t="s">
        <v>120</v>
      </c>
      <c r="D78" s="5">
        <v>22.7</v>
      </c>
      <c r="E78" s="5">
        <v>22.7</v>
      </c>
      <c r="F78" s="13"/>
      <c r="G78" s="13"/>
    </row>
    <row r="79" spans="3:7" x14ac:dyDescent="0.25">
      <c r="C79" s="2" t="s">
        <v>56</v>
      </c>
      <c r="D79" s="8">
        <v>20.096666666666668</v>
      </c>
      <c r="E79" s="8">
        <v>20.096666666666668</v>
      </c>
      <c r="F79" s="13"/>
      <c r="G79" s="13"/>
    </row>
    <row r="80" spans="3:7" x14ac:dyDescent="0.25">
      <c r="C80" s="3" t="s">
        <v>39</v>
      </c>
      <c r="D80" s="4">
        <v>14.9</v>
      </c>
      <c r="E80" s="4">
        <v>14.9</v>
      </c>
      <c r="F80" s="13"/>
      <c r="G80" s="13"/>
    </row>
    <row r="81" spans="3:7" x14ac:dyDescent="0.25">
      <c r="C81" s="3" t="s">
        <v>93</v>
      </c>
      <c r="D81" s="4">
        <v>14.438333333333333</v>
      </c>
      <c r="E81" s="4">
        <v>14.436000000000002</v>
      </c>
      <c r="F81" s="13"/>
      <c r="G81" s="13"/>
    </row>
    <row r="82" spans="3:7" x14ac:dyDescent="0.25">
      <c r="C82" s="2" t="s">
        <v>116</v>
      </c>
      <c r="D82" s="5">
        <v>0</v>
      </c>
      <c r="E82" s="5">
        <v>0</v>
      </c>
      <c r="F82" s="13"/>
      <c r="G82" s="13"/>
    </row>
    <row r="83" spans="3:7" x14ac:dyDescent="0.25">
      <c r="C83" s="2" t="s">
        <v>111</v>
      </c>
      <c r="D83" s="5">
        <v>67.099999999999994</v>
      </c>
      <c r="E83" s="5">
        <v>67.099999999999994</v>
      </c>
      <c r="F83" s="13"/>
      <c r="G83" s="13"/>
    </row>
    <row r="84" spans="3:7" x14ac:dyDescent="0.25">
      <c r="C84" s="3" t="s">
        <v>82</v>
      </c>
      <c r="D84" s="4">
        <v>16.899999999999999</v>
      </c>
      <c r="E84" s="4">
        <v>16.899999999999999</v>
      </c>
      <c r="F84" s="13"/>
      <c r="G84" s="13"/>
    </row>
    <row r="85" spans="3:7" x14ac:dyDescent="0.25">
      <c r="C85" s="3" t="s">
        <v>86</v>
      </c>
      <c r="D85" s="4">
        <v>16.899999999999999</v>
      </c>
      <c r="E85" s="4">
        <v>16.900000000000002</v>
      </c>
      <c r="F85" s="13"/>
      <c r="G85" s="13"/>
    </row>
    <row r="86" spans="3:7" x14ac:dyDescent="0.25">
      <c r="C86" s="3" t="s">
        <v>34</v>
      </c>
      <c r="D86" s="4">
        <v>36.79</v>
      </c>
      <c r="E86" s="4">
        <v>36.79</v>
      </c>
      <c r="F86" s="13"/>
      <c r="G86" s="13"/>
    </row>
    <row r="87" spans="3:7" x14ac:dyDescent="0.25">
      <c r="C87" s="2" t="s">
        <v>72</v>
      </c>
      <c r="D87" s="5">
        <v>35.169999999999995</v>
      </c>
      <c r="E87" s="5">
        <v>35.167999999999999</v>
      </c>
      <c r="F87" s="13"/>
      <c r="G87" s="13"/>
    </row>
    <row r="88" spans="3:7" x14ac:dyDescent="0.25">
      <c r="C88" s="2" t="s">
        <v>118</v>
      </c>
      <c r="D88" s="5">
        <v>7.6000000000000005</v>
      </c>
      <c r="E88" s="5">
        <v>7.6000000000000005</v>
      </c>
      <c r="F88" s="13"/>
      <c r="G88" s="13"/>
    </row>
    <row r="89" spans="3:7" x14ac:dyDescent="0.25">
      <c r="C89" s="11" t="s">
        <v>182</v>
      </c>
      <c r="D89" s="13">
        <f>IF(ISNUMBER(F89), F89/5, "SEM PEDAGIO")</f>
        <v>32.1</v>
      </c>
      <c r="E89" s="13">
        <f>IF(ISNUMBER(G89), G89/9, "SEM PEDAGIO")</f>
        <v>32.099999999999994</v>
      </c>
      <c r="F89" s="13">
        <v>160.5</v>
      </c>
      <c r="G89" s="13">
        <v>288.89999999999998</v>
      </c>
    </row>
    <row r="90" spans="3:7" x14ac:dyDescent="0.25">
      <c r="C90" s="2" t="s">
        <v>105</v>
      </c>
      <c r="D90" s="5">
        <v>16.900000000000002</v>
      </c>
      <c r="E90" s="5">
        <v>16.899999999999999</v>
      </c>
      <c r="F90" s="13"/>
      <c r="G90" s="13"/>
    </row>
    <row r="91" spans="3:7" x14ac:dyDescent="0.25">
      <c r="C91" s="3" t="s">
        <v>61</v>
      </c>
      <c r="D91" s="4">
        <v>16.899999999999999</v>
      </c>
      <c r="E91" s="4">
        <v>16.899999999999999</v>
      </c>
      <c r="F91" s="13"/>
      <c r="G91" s="13"/>
    </row>
    <row r="92" spans="3:7" x14ac:dyDescent="0.25">
      <c r="C92" s="3" t="s">
        <v>53</v>
      </c>
      <c r="D92" s="4">
        <v>16.899999999999999</v>
      </c>
      <c r="E92" s="4">
        <v>16.899999999999999</v>
      </c>
      <c r="F92" s="13"/>
      <c r="G92" s="13"/>
    </row>
    <row r="93" spans="3:7" x14ac:dyDescent="0.25">
      <c r="C93" s="2" t="s">
        <v>67</v>
      </c>
      <c r="D93" s="5">
        <v>15.4</v>
      </c>
      <c r="E93" s="5">
        <v>15.399999999999999</v>
      </c>
      <c r="F93" s="13"/>
      <c r="G93" s="13"/>
    </row>
    <row r="94" spans="3:7" x14ac:dyDescent="0.25">
      <c r="C94" s="3" t="s">
        <v>51</v>
      </c>
      <c r="D94" s="4">
        <v>0</v>
      </c>
      <c r="E94" s="4">
        <v>0</v>
      </c>
      <c r="F94" s="13"/>
      <c r="G94" s="13"/>
    </row>
    <row r="95" spans="3:7" x14ac:dyDescent="0.25">
      <c r="C95" s="7" t="s">
        <v>122</v>
      </c>
      <c r="D95" s="5">
        <v>32.4</v>
      </c>
      <c r="E95" s="5">
        <v>32.4</v>
      </c>
      <c r="F95" s="13"/>
      <c r="G95" s="13"/>
    </row>
    <row r="96" spans="3:7" x14ac:dyDescent="0.25">
      <c r="C96" s="2" t="s">
        <v>137</v>
      </c>
      <c r="D96" s="5">
        <v>32.4</v>
      </c>
      <c r="E96" s="5">
        <v>32.4</v>
      </c>
      <c r="F96" s="13"/>
      <c r="G96" s="13"/>
    </row>
    <row r="97" spans="3:7" x14ac:dyDescent="0.25">
      <c r="C97" s="3" t="s">
        <v>35</v>
      </c>
      <c r="D97" s="4">
        <v>22.7</v>
      </c>
      <c r="E97" s="4">
        <v>22.7</v>
      </c>
      <c r="F97" s="13"/>
      <c r="G97" s="13"/>
    </row>
    <row r="98" spans="3:7" x14ac:dyDescent="0.25">
      <c r="C98" s="21" t="s">
        <v>182</v>
      </c>
      <c r="D98" s="13">
        <f>IF(ISNUMBER(F98), F98/5, "SEM PEDAGIO")</f>
        <v>32.1</v>
      </c>
      <c r="E98" s="13">
        <f>IF(ISNUMBER(G98), G98/9, "SEM PEDAGIO")</f>
        <v>32.099999999999994</v>
      </c>
      <c r="F98" s="13">
        <v>160.5</v>
      </c>
      <c r="G98" s="13">
        <v>288.89999999999998</v>
      </c>
    </row>
    <row r="99" spans="3:7" x14ac:dyDescent="0.25">
      <c r="C99" s="2" t="s">
        <v>73</v>
      </c>
      <c r="D99" s="5">
        <v>15.4</v>
      </c>
      <c r="E99" s="9">
        <v>15.399999999999999</v>
      </c>
      <c r="F99" s="13"/>
      <c r="G99" s="13"/>
    </row>
    <row r="100" spans="3:7" x14ac:dyDescent="0.25">
      <c r="C100" s="2" t="s">
        <v>13</v>
      </c>
      <c r="D100" s="8">
        <v>15.4</v>
      </c>
      <c r="E100" s="8">
        <v>15.4</v>
      </c>
      <c r="F100" s="13"/>
      <c r="G100" s="13"/>
    </row>
    <row r="101" spans="3:7" x14ac:dyDescent="0.25">
      <c r="C101" s="3" t="s">
        <v>40</v>
      </c>
      <c r="D101" s="4">
        <v>23.641999999999999</v>
      </c>
      <c r="E101" s="4">
        <v>23.641999999999999</v>
      </c>
      <c r="F101" s="13"/>
      <c r="G101" s="13"/>
    </row>
    <row r="102" spans="3:7" x14ac:dyDescent="0.25">
      <c r="C102" s="2" t="s">
        <v>144</v>
      </c>
      <c r="D102" s="5">
        <v>0</v>
      </c>
      <c r="E102" s="5">
        <v>0</v>
      </c>
      <c r="F102" s="13"/>
      <c r="G102" s="13"/>
    </row>
    <row r="103" spans="3:7" x14ac:dyDescent="0.25">
      <c r="C103" s="2" t="s">
        <v>26</v>
      </c>
      <c r="D103" s="5">
        <v>23.64</v>
      </c>
      <c r="E103" s="5">
        <v>23.64</v>
      </c>
      <c r="F103" s="13"/>
      <c r="G103" s="13"/>
    </row>
    <row r="104" spans="3:7" x14ac:dyDescent="0.25">
      <c r="C104" s="3" t="s">
        <v>88</v>
      </c>
      <c r="D104" s="4">
        <v>7.6</v>
      </c>
      <c r="E104" s="4">
        <v>7.6000000000000005</v>
      </c>
      <c r="F104" s="13"/>
      <c r="G104" s="13"/>
    </row>
    <row r="105" spans="3:7" x14ac:dyDescent="0.25">
      <c r="C105" s="11" t="s">
        <v>188</v>
      </c>
      <c r="D105" s="13" t="str">
        <f>IF(ISNUMBER(F105), F105/5, "SEM PEDAGIO")</f>
        <v>SEM PEDAGIO</v>
      </c>
      <c r="E105" s="13" t="str">
        <f>IF(ISNUMBER(G105), G105/9, "SEM PEDAGIO")</f>
        <v>SEM PEDAGIO</v>
      </c>
      <c r="F105" s="13"/>
      <c r="G105" s="13"/>
    </row>
    <row r="106" spans="3:7" x14ac:dyDescent="0.25">
      <c r="C106" s="2" t="s">
        <v>14</v>
      </c>
      <c r="D106" s="5">
        <v>22.7</v>
      </c>
      <c r="E106" s="5">
        <v>22.7</v>
      </c>
      <c r="F106" s="13"/>
      <c r="G106" s="13"/>
    </row>
    <row r="107" spans="3:7" x14ac:dyDescent="0.25">
      <c r="C107" s="2" t="s">
        <v>91</v>
      </c>
      <c r="D107" s="5">
        <v>22.7</v>
      </c>
      <c r="E107" s="5">
        <v>22.7</v>
      </c>
      <c r="F107" s="13"/>
      <c r="G107" s="13"/>
    </row>
    <row r="108" spans="3:7" x14ac:dyDescent="0.25">
      <c r="C108" s="21" t="s">
        <v>188</v>
      </c>
      <c r="D108" s="13">
        <f>IF(ISNUMBER(F108), F108/5, "SEM PEDAGIO")</f>
        <v>12.634</v>
      </c>
      <c r="E108" s="13">
        <f>IF(ISNUMBER(G108), G108/9, "SEM PEDAGIO")</f>
        <v>12.634444444444444</v>
      </c>
      <c r="F108" s="13">
        <v>63.17</v>
      </c>
      <c r="G108" s="13">
        <v>113.71</v>
      </c>
    </row>
    <row r="109" spans="3:7" x14ac:dyDescent="0.25">
      <c r="C109" s="11" t="s">
        <v>189</v>
      </c>
      <c r="D109" s="13">
        <f>IF(ISNUMBER(F109), F109/5, "SEM PEDAGIO")</f>
        <v>14.9</v>
      </c>
      <c r="E109" s="13">
        <f>IF(ISNUMBER(G109), G109/9, "SEM PEDAGIO")</f>
        <v>14.899999999999999</v>
      </c>
      <c r="F109" s="13">
        <v>74.5</v>
      </c>
      <c r="G109" s="13">
        <v>134.1</v>
      </c>
    </row>
    <row r="110" spans="3:7" x14ac:dyDescent="0.25">
      <c r="C110" s="3" t="s">
        <v>87</v>
      </c>
      <c r="D110" s="4">
        <v>36.801428571428573</v>
      </c>
      <c r="E110" s="4">
        <v>36.801428571428573</v>
      </c>
      <c r="F110" s="13"/>
      <c r="G110" s="13"/>
    </row>
    <row r="111" spans="3:7" x14ac:dyDescent="0.25">
      <c r="C111" s="3" t="s">
        <v>49</v>
      </c>
      <c r="D111" s="4">
        <v>15.4</v>
      </c>
      <c r="E111" s="4">
        <v>15.4</v>
      </c>
      <c r="F111" s="13"/>
      <c r="G111" s="13"/>
    </row>
    <row r="112" spans="3:7" x14ac:dyDescent="0.25">
      <c r="C112" s="2" t="s">
        <v>135</v>
      </c>
      <c r="D112" s="5">
        <v>0</v>
      </c>
      <c r="E112" s="5">
        <v>0</v>
      </c>
      <c r="F112" s="13"/>
      <c r="G112" s="13"/>
    </row>
    <row r="113" spans="3:7" s="6" customFormat="1" x14ac:dyDescent="0.25">
      <c r="C113" s="3" t="s">
        <v>106</v>
      </c>
      <c r="D113" s="4">
        <v>20.115714285714287</v>
      </c>
      <c r="E113" s="4">
        <v>16.899999999999999</v>
      </c>
      <c r="F113" s="4"/>
      <c r="G113" s="4"/>
    </row>
    <row r="114" spans="3:7" s="6" customFormat="1" x14ac:dyDescent="0.25">
      <c r="C114" s="2" t="s">
        <v>76</v>
      </c>
      <c r="D114" s="5">
        <v>38.1</v>
      </c>
      <c r="E114" s="5">
        <v>38.104444444444447</v>
      </c>
      <c r="F114" s="4"/>
      <c r="G114" s="4"/>
    </row>
    <row r="115" spans="3:7" x14ac:dyDescent="0.25">
      <c r="C115" s="2" t="s">
        <v>70</v>
      </c>
      <c r="D115" s="5">
        <v>13.941999999999998</v>
      </c>
      <c r="E115" s="5">
        <v>13.937777777777777</v>
      </c>
      <c r="F115" s="13"/>
      <c r="G115" s="13"/>
    </row>
    <row r="116" spans="3:7" s="6" customFormat="1" x14ac:dyDescent="0.25">
      <c r="C116" s="2" t="s">
        <v>148</v>
      </c>
      <c r="D116" s="5">
        <f>165.77/9</f>
        <v>18.41888888888889</v>
      </c>
      <c r="E116" s="5">
        <f>165.77/9</f>
        <v>18.41888888888889</v>
      </c>
      <c r="F116" s="4"/>
      <c r="G116" s="4"/>
    </row>
    <row r="117" spans="3:7" s="6" customFormat="1" x14ac:dyDescent="0.25">
      <c r="C117" s="2" t="s">
        <v>97</v>
      </c>
      <c r="D117" s="5">
        <v>15.4</v>
      </c>
      <c r="E117" s="5">
        <v>15.4</v>
      </c>
      <c r="F117" s="4"/>
      <c r="G117" s="4"/>
    </row>
    <row r="118" spans="3:7" s="6" customFormat="1" x14ac:dyDescent="0.25">
      <c r="C118" s="2" t="s">
        <v>138</v>
      </c>
      <c r="D118" s="5">
        <v>16.899999999999999</v>
      </c>
      <c r="E118" s="5">
        <v>16.899999999999999</v>
      </c>
      <c r="F118" s="4"/>
      <c r="G118" s="4"/>
    </row>
    <row r="119" spans="3:7" s="6" customFormat="1" x14ac:dyDescent="0.25">
      <c r="C119" s="2" t="s">
        <v>102</v>
      </c>
      <c r="D119" s="5">
        <v>36.938333333333333</v>
      </c>
      <c r="E119" s="5">
        <v>36.936</v>
      </c>
      <c r="F119" s="4"/>
      <c r="G119" s="4"/>
    </row>
    <row r="120" spans="3:7" s="6" customFormat="1" x14ac:dyDescent="0.25">
      <c r="C120" s="2" t="s">
        <v>68</v>
      </c>
      <c r="D120" s="4">
        <v>0</v>
      </c>
      <c r="E120" s="4">
        <v>0</v>
      </c>
      <c r="F120" s="4"/>
      <c r="G120" s="4"/>
    </row>
    <row r="121" spans="3:7" s="6" customFormat="1" x14ac:dyDescent="0.25">
      <c r="C121" s="21" t="s">
        <v>189</v>
      </c>
      <c r="D121" s="13">
        <f>IF(ISNUMBER(F121), F121/5, "SEM PEDAGIO")</f>
        <v>14.9</v>
      </c>
      <c r="E121" s="13">
        <f>IF(ISNUMBER(G121), G121/9, "SEM PEDAGIO")</f>
        <v>14.899999999999999</v>
      </c>
      <c r="F121" s="13">
        <v>74.5</v>
      </c>
      <c r="G121" s="13">
        <v>134.1</v>
      </c>
    </row>
    <row r="122" spans="3:7" s="6" customFormat="1" x14ac:dyDescent="0.25">
      <c r="C122" s="2" t="s">
        <v>15</v>
      </c>
      <c r="D122" s="5">
        <v>23.64</v>
      </c>
      <c r="E122" s="5">
        <v>23.64</v>
      </c>
      <c r="F122" s="4"/>
      <c r="G122" s="4"/>
    </row>
    <row r="123" spans="3:7" s="6" customFormat="1" x14ac:dyDescent="0.25">
      <c r="C123" s="7" t="s">
        <v>123</v>
      </c>
      <c r="D123" s="5">
        <v>20.11</v>
      </c>
      <c r="E123" s="5">
        <v>16.899999999999999</v>
      </c>
      <c r="F123" s="4"/>
      <c r="G123" s="4"/>
    </row>
    <row r="124" spans="3:7" s="6" customFormat="1" x14ac:dyDescent="0.25">
      <c r="C124" s="2" t="s">
        <v>16</v>
      </c>
      <c r="D124" s="5">
        <f>IF(ISNUMBER(F124), F124/5, "SEM PEDAGIO")</f>
        <v>7.9</v>
      </c>
      <c r="E124" s="5">
        <f>IF(ISNUMBER(G124), G124/9, "SEM PEDAGIO")</f>
        <v>7.8999999999999995</v>
      </c>
      <c r="F124" s="4">
        <v>39.5</v>
      </c>
      <c r="G124" s="4">
        <v>71.099999999999994</v>
      </c>
    </row>
    <row r="125" spans="3:7" s="6" customFormat="1" x14ac:dyDescent="0.25">
      <c r="C125" s="7" t="s">
        <v>124</v>
      </c>
      <c r="D125" s="5">
        <v>22.7</v>
      </c>
      <c r="E125" s="5">
        <v>22.7</v>
      </c>
      <c r="F125" s="4"/>
      <c r="G125" s="4"/>
    </row>
    <row r="126" spans="3:7" s="6" customFormat="1" x14ac:dyDescent="0.25">
      <c r="C126" s="3" t="s">
        <v>36</v>
      </c>
      <c r="D126" s="4">
        <v>36.79</v>
      </c>
      <c r="E126" s="4">
        <v>36.79</v>
      </c>
      <c r="F126" s="4"/>
      <c r="G126" s="4"/>
    </row>
    <row r="127" spans="3:7" s="6" customFormat="1" x14ac:dyDescent="0.25">
      <c r="C127" s="2" t="s">
        <v>132</v>
      </c>
      <c r="D127" s="5">
        <v>67.100000000000009</v>
      </c>
      <c r="E127" s="5">
        <v>67.099999999999994</v>
      </c>
      <c r="F127" s="4"/>
      <c r="G127" s="4"/>
    </row>
    <row r="128" spans="3:7" s="6" customFormat="1" x14ac:dyDescent="0.25">
      <c r="C128" s="2" t="s">
        <v>17</v>
      </c>
      <c r="D128" s="5">
        <v>7.6</v>
      </c>
      <c r="E128" s="5">
        <v>7.6</v>
      </c>
      <c r="F128" s="4"/>
      <c r="G128" s="4"/>
    </row>
    <row r="129" spans="3:10" s="6" customFormat="1" x14ac:dyDescent="0.25">
      <c r="C129" s="2" t="s">
        <v>145</v>
      </c>
      <c r="D129" s="5">
        <f>68.4/9</f>
        <v>7.6000000000000005</v>
      </c>
      <c r="E129" s="5">
        <f>68.4/9</f>
        <v>7.6000000000000005</v>
      </c>
      <c r="F129" s="4"/>
      <c r="G129" s="4"/>
    </row>
    <row r="130" spans="3:10" s="6" customFormat="1" x14ac:dyDescent="0.25">
      <c r="C130" s="2" t="s">
        <v>142</v>
      </c>
      <c r="D130" s="5">
        <f>152.1/9</f>
        <v>16.899999999999999</v>
      </c>
      <c r="E130" s="5">
        <f>152.1/9</f>
        <v>16.899999999999999</v>
      </c>
      <c r="F130" s="4"/>
      <c r="G130" s="4"/>
    </row>
    <row r="131" spans="3:10" s="6" customFormat="1" x14ac:dyDescent="0.25">
      <c r="C131" s="2" t="s">
        <v>96</v>
      </c>
      <c r="D131" s="5">
        <v>26</v>
      </c>
      <c r="E131" s="5">
        <v>26</v>
      </c>
      <c r="F131" s="4"/>
      <c r="G131" s="4"/>
    </row>
    <row r="132" spans="3:10" s="6" customFormat="1" x14ac:dyDescent="0.25">
      <c r="C132" s="2" t="s">
        <v>18</v>
      </c>
      <c r="D132" s="5">
        <v>18.41</v>
      </c>
      <c r="E132" s="5">
        <v>18.41</v>
      </c>
      <c r="F132" s="4"/>
      <c r="G132" s="4"/>
    </row>
    <row r="133" spans="3:10" s="6" customFormat="1" x14ac:dyDescent="0.25">
      <c r="C133" s="3" t="s">
        <v>107</v>
      </c>
      <c r="D133" s="4">
        <v>15.4</v>
      </c>
      <c r="E133" s="4">
        <v>15.399999999999999</v>
      </c>
      <c r="F133" s="4"/>
      <c r="G133" s="4"/>
    </row>
    <row r="134" spans="3:10" s="6" customFormat="1" x14ac:dyDescent="0.25">
      <c r="C134" s="2" t="s">
        <v>19</v>
      </c>
      <c r="D134" s="5">
        <v>15.4</v>
      </c>
      <c r="E134" s="5">
        <v>15.4</v>
      </c>
      <c r="F134" s="4"/>
      <c r="G134" s="4"/>
    </row>
    <row r="135" spans="3:10" s="6" customFormat="1" x14ac:dyDescent="0.25">
      <c r="C135" s="2" t="s">
        <v>20</v>
      </c>
      <c r="D135" s="5">
        <v>16.899999999999999</v>
      </c>
      <c r="E135" s="5">
        <v>16.899999999999999</v>
      </c>
      <c r="F135" s="4"/>
      <c r="G135" s="4"/>
    </row>
    <row r="136" spans="3:10" s="6" customFormat="1" x14ac:dyDescent="0.25">
      <c r="C136" s="2" t="s">
        <v>21</v>
      </c>
      <c r="D136" s="5">
        <v>7.6</v>
      </c>
      <c r="E136" s="5">
        <v>7.6</v>
      </c>
      <c r="F136" s="4"/>
      <c r="G136" s="4"/>
    </row>
    <row r="137" spans="3:10" s="6" customFormat="1" x14ac:dyDescent="0.25">
      <c r="C137" s="7" t="s">
        <v>125</v>
      </c>
      <c r="D137" s="5">
        <v>22.7</v>
      </c>
      <c r="E137" s="5">
        <v>22.7</v>
      </c>
      <c r="F137" s="4"/>
      <c r="G137" s="4"/>
    </row>
    <row r="138" spans="3:10" s="6" customFormat="1" x14ac:dyDescent="0.25">
      <c r="C138" s="3" t="s">
        <v>50</v>
      </c>
      <c r="D138" s="4">
        <v>14.9</v>
      </c>
      <c r="E138" s="4">
        <v>14.9</v>
      </c>
      <c r="F138" s="4"/>
      <c r="G138" s="4"/>
    </row>
    <row r="139" spans="3:10" s="6" customFormat="1" x14ac:dyDescent="0.25">
      <c r="C139" s="2" t="s">
        <v>22</v>
      </c>
      <c r="D139" s="5">
        <v>22.7</v>
      </c>
      <c r="E139" s="5">
        <v>22.7</v>
      </c>
      <c r="F139" s="4"/>
      <c r="G139" s="4"/>
    </row>
    <row r="140" spans="3:10" s="6" customFormat="1" x14ac:dyDescent="0.25">
      <c r="C140" s="2" t="s">
        <v>54</v>
      </c>
      <c r="D140" s="4">
        <v>0</v>
      </c>
      <c r="E140" s="4">
        <v>0</v>
      </c>
      <c r="F140" s="4"/>
      <c r="G140" s="4"/>
    </row>
    <row r="141" spans="3:10" s="6" customFormat="1" x14ac:dyDescent="0.25">
      <c r="C141" s="2" t="s">
        <v>23</v>
      </c>
      <c r="D141" s="4">
        <v>0</v>
      </c>
      <c r="E141" s="4">
        <v>0</v>
      </c>
      <c r="F141" s="4"/>
      <c r="G141" s="4"/>
      <c r="J141"/>
    </row>
    <row r="142" spans="3:10" s="6" customFormat="1" x14ac:dyDescent="0.25">
      <c r="C142" s="2" t="s">
        <v>24</v>
      </c>
      <c r="D142" s="5">
        <v>23.64</v>
      </c>
      <c r="E142" s="5">
        <v>23.64</v>
      </c>
      <c r="F142" s="4"/>
      <c r="G142" s="4"/>
      <c r="J142"/>
    </row>
    <row r="143" spans="3:10" s="6" customFormat="1" x14ac:dyDescent="0.25">
      <c r="C143" s="2" t="s">
        <v>74</v>
      </c>
      <c r="D143" s="4">
        <v>0</v>
      </c>
      <c r="E143" s="4">
        <v>0</v>
      </c>
      <c r="F143" s="4"/>
      <c r="G143" s="4"/>
      <c r="J143"/>
    </row>
    <row r="144" spans="3:10" s="6" customFormat="1" x14ac:dyDescent="0.25">
      <c r="C144" s="2" t="s">
        <v>63</v>
      </c>
      <c r="D144" s="5">
        <v>14.9</v>
      </c>
      <c r="E144" s="5">
        <v>14.9</v>
      </c>
      <c r="F144" s="4"/>
      <c r="G144" s="4"/>
      <c r="J144"/>
    </row>
    <row r="145" spans="3:16" s="6" customFormat="1" x14ac:dyDescent="0.25">
      <c r="C145" s="2" t="s">
        <v>143</v>
      </c>
      <c r="D145" s="5">
        <v>0</v>
      </c>
      <c r="E145" s="5">
        <v>0</v>
      </c>
      <c r="F145" s="4"/>
      <c r="G145" s="4"/>
      <c r="J145"/>
    </row>
    <row r="146" spans="3:16" s="6" customFormat="1" x14ac:dyDescent="0.25">
      <c r="C146" s="3" t="s">
        <v>37</v>
      </c>
      <c r="D146" s="10">
        <v>22.7</v>
      </c>
      <c r="E146" s="10">
        <v>22.7</v>
      </c>
      <c r="F146" s="4"/>
      <c r="G146" s="4"/>
    </row>
    <row r="147" spans="3:16" s="6" customFormat="1" x14ac:dyDescent="0.25">
      <c r="C147" s="2" t="s">
        <v>52</v>
      </c>
      <c r="D147" s="5">
        <v>28.175999999999998</v>
      </c>
      <c r="E147" s="5">
        <v>28.175999999999998</v>
      </c>
      <c r="F147" s="4"/>
      <c r="G147" s="4"/>
    </row>
    <row r="148" spans="3:16" s="6" customFormat="1" x14ac:dyDescent="0.25">
      <c r="C148" s="2" t="s">
        <v>150</v>
      </c>
      <c r="D148" s="5">
        <f t="shared" ref="D148:D153" si="0">IF(ISNUMBER(F148), F148/5, "SEM PEDAGIO")</f>
        <v>16.899999999999999</v>
      </c>
      <c r="E148" s="5">
        <f t="shared" ref="E148:E153" si="1">IF(ISNUMBER(G148), G148/9, "SEM PEDAGIO")</f>
        <v>16.899999999999999</v>
      </c>
      <c r="F148" s="4">
        <v>84.5</v>
      </c>
      <c r="G148" s="4">
        <v>152.1</v>
      </c>
    </row>
    <row r="149" spans="3:16" s="6" customFormat="1" x14ac:dyDescent="0.25">
      <c r="C149" s="2" t="s">
        <v>159</v>
      </c>
      <c r="D149" s="5">
        <f t="shared" si="0"/>
        <v>16.899999999999999</v>
      </c>
      <c r="E149" s="5">
        <f t="shared" si="1"/>
        <v>16.899999999999999</v>
      </c>
      <c r="F149" s="4">
        <v>84.5</v>
      </c>
      <c r="G149" s="4">
        <v>152.1</v>
      </c>
      <c r="L149"/>
      <c r="M149"/>
      <c r="N149"/>
      <c r="O149"/>
      <c r="P149"/>
    </row>
    <row r="150" spans="3:16" s="6" customFormat="1" x14ac:dyDescent="0.25">
      <c r="C150" s="2" t="s">
        <v>151</v>
      </c>
      <c r="D150" s="5">
        <f t="shared" si="0"/>
        <v>16.899999999999999</v>
      </c>
      <c r="E150" s="5">
        <f t="shared" si="1"/>
        <v>16.899999999999999</v>
      </c>
      <c r="F150" s="4">
        <v>84.5</v>
      </c>
      <c r="G150" s="4">
        <v>152.1</v>
      </c>
      <c r="L150"/>
      <c r="M150"/>
      <c r="N150"/>
      <c r="O150"/>
      <c r="P150"/>
    </row>
    <row r="151" spans="3:16" s="6" customFormat="1" x14ac:dyDescent="0.25">
      <c r="C151" s="2" t="s">
        <v>152</v>
      </c>
      <c r="D151" s="5">
        <f t="shared" si="0"/>
        <v>15.4</v>
      </c>
      <c r="E151" s="5">
        <f t="shared" si="1"/>
        <v>15.399999999999999</v>
      </c>
      <c r="F151" s="4">
        <v>77</v>
      </c>
      <c r="G151" s="4">
        <v>138.6</v>
      </c>
      <c r="L151"/>
      <c r="M151"/>
      <c r="N151"/>
      <c r="O151"/>
      <c r="P151"/>
    </row>
    <row r="152" spans="3:16" s="6" customFormat="1" x14ac:dyDescent="0.25">
      <c r="C152" s="2" t="s">
        <v>153</v>
      </c>
      <c r="D152" s="5" t="str">
        <f t="shared" si="0"/>
        <v>SEM PEDAGIO</v>
      </c>
      <c r="E152" s="5" t="str">
        <f t="shared" si="1"/>
        <v>SEM PEDAGIO</v>
      </c>
      <c r="F152" s="4"/>
      <c r="G152" s="4"/>
      <c r="L152"/>
      <c r="M152"/>
      <c r="N152"/>
      <c r="O152"/>
      <c r="P152"/>
    </row>
    <row r="153" spans="3:16" s="6" customFormat="1" x14ac:dyDescent="0.25">
      <c r="C153" s="2" t="s">
        <v>154</v>
      </c>
      <c r="D153" s="5">
        <f t="shared" si="0"/>
        <v>16.899999999999999</v>
      </c>
      <c r="E153" s="5">
        <f t="shared" si="1"/>
        <v>16.899999999999999</v>
      </c>
      <c r="F153" s="4">
        <v>84.5</v>
      </c>
      <c r="G153" s="4">
        <v>152.1</v>
      </c>
      <c r="L153"/>
      <c r="M153"/>
      <c r="N153"/>
      <c r="O153"/>
      <c r="P153"/>
    </row>
    <row r="154" spans="3:16" s="6" customFormat="1" x14ac:dyDescent="0.25">
      <c r="C154" s="3" t="s">
        <v>42</v>
      </c>
      <c r="D154" s="4">
        <v>41.1</v>
      </c>
      <c r="E154" s="4">
        <v>41.1</v>
      </c>
      <c r="F154" s="13"/>
      <c r="G154" s="13"/>
      <c r="L154"/>
      <c r="M154"/>
      <c r="N154"/>
      <c r="O154"/>
      <c r="P154"/>
    </row>
    <row r="155" spans="3:16" s="6" customFormat="1" x14ac:dyDescent="0.25">
      <c r="C155" s="21" t="s">
        <v>42</v>
      </c>
      <c r="D155" s="13">
        <f>IF(ISNUMBER(F155), F155/5, "SEM PEDAGIO")</f>
        <v>69.602000000000004</v>
      </c>
      <c r="E155" s="13">
        <f>IF(ISNUMBER(G155), G155/9, "SEM PEDAGIO")</f>
        <v>69.601111111111109</v>
      </c>
      <c r="F155" s="13">
        <v>348.01</v>
      </c>
      <c r="G155" s="13">
        <v>626.41</v>
      </c>
    </row>
    <row r="156" spans="3:16" s="6" customFormat="1" x14ac:dyDescent="0.25">
      <c r="C156" s="2" t="s">
        <v>158</v>
      </c>
      <c r="D156" s="5">
        <f>IF(ISNUMBER(F156), F156/5, "SEM PEDAGIO")</f>
        <v>16.899999999999999</v>
      </c>
      <c r="E156" s="5">
        <f>IF(ISNUMBER(G156), G156/9, "SEM PEDAGIO")</f>
        <v>16.899999999999999</v>
      </c>
      <c r="F156" s="4">
        <v>84.5</v>
      </c>
      <c r="G156" s="4">
        <v>152.1</v>
      </c>
    </row>
    <row r="157" spans="3:16" s="6" customFormat="1" x14ac:dyDescent="0.25">
      <c r="C157" s="2" t="s">
        <v>156</v>
      </c>
      <c r="D157" s="5">
        <f>IF(ISNUMBER(F157), F157/5, "SEM PEDAGIO")</f>
        <v>16.236000000000001</v>
      </c>
      <c r="E157" s="5">
        <f>IF(ISNUMBER(G157), G157/9, "SEM PEDAGIO")</f>
        <v>24.144444444444446</v>
      </c>
      <c r="F157" s="4">
        <v>81.180000000000007</v>
      </c>
      <c r="G157" s="4">
        <v>217.3</v>
      </c>
    </row>
    <row r="158" spans="3:16" s="6" customFormat="1" x14ac:dyDescent="0.25">
      <c r="C158" s="2" t="s">
        <v>71</v>
      </c>
      <c r="D158" s="5">
        <v>20.12</v>
      </c>
      <c r="E158" s="5">
        <v>20.11888888888889</v>
      </c>
      <c r="F158" s="4"/>
      <c r="G158" s="4"/>
    </row>
    <row r="159" spans="3:16" x14ac:dyDescent="0.25">
      <c r="C159" s="3" t="s">
        <v>30</v>
      </c>
      <c r="D159" s="4">
        <v>22.7</v>
      </c>
      <c r="E159" s="4">
        <v>22.7</v>
      </c>
      <c r="F159" s="13"/>
      <c r="G159" s="13"/>
    </row>
    <row r="160" spans="3:16" x14ac:dyDescent="0.25">
      <c r="C160" s="11" t="s">
        <v>162</v>
      </c>
      <c r="D160" s="13">
        <f t="shared" ref="D160:D179" si="2">IF(ISNUMBER(F160), F160/5, "SEM PEDAGIO")</f>
        <v>24.036000000000001</v>
      </c>
      <c r="E160" s="17">
        <f t="shared" ref="E160:E179" si="3">IF(ISNUMBER(G160), G160/9, "SEM PEDAGIO")</f>
        <v>32.400000000000006</v>
      </c>
      <c r="F160" s="13">
        <v>120.18</v>
      </c>
      <c r="G160" s="13">
        <v>291.60000000000002</v>
      </c>
    </row>
    <row r="161" spans="3:7" x14ac:dyDescent="0.25">
      <c r="C161" s="11" t="s">
        <v>163</v>
      </c>
      <c r="D161" s="13">
        <f t="shared" si="2"/>
        <v>16.899999999999999</v>
      </c>
      <c r="E161" s="17">
        <f t="shared" si="3"/>
        <v>16.899999999999999</v>
      </c>
      <c r="F161" s="13">
        <v>84.5</v>
      </c>
      <c r="G161" s="13">
        <v>152.1</v>
      </c>
    </row>
    <row r="162" spans="3:7" x14ac:dyDescent="0.25">
      <c r="C162" s="11" t="s">
        <v>164</v>
      </c>
      <c r="D162" s="13">
        <f t="shared" si="2"/>
        <v>18.41</v>
      </c>
      <c r="E162" s="17">
        <f t="shared" si="3"/>
        <v>18.41888888888889</v>
      </c>
      <c r="F162" s="13">
        <v>92.05</v>
      </c>
      <c r="G162" s="13">
        <v>165.77</v>
      </c>
    </row>
    <row r="163" spans="3:7" x14ac:dyDescent="0.25">
      <c r="C163" s="11" t="s">
        <v>165</v>
      </c>
      <c r="D163" s="13">
        <f t="shared" si="2"/>
        <v>18.41</v>
      </c>
      <c r="E163" s="17">
        <f t="shared" si="3"/>
        <v>18.41888888888889</v>
      </c>
      <c r="F163" s="13">
        <v>92.05</v>
      </c>
      <c r="G163" s="13">
        <v>165.77</v>
      </c>
    </row>
    <row r="164" spans="3:7" x14ac:dyDescent="0.25">
      <c r="C164" s="11" t="s">
        <v>166</v>
      </c>
      <c r="D164" s="13">
        <f t="shared" si="2"/>
        <v>32.4</v>
      </c>
      <c r="E164" s="17">
        <f t="shared" si="3"/>
        <v>32.400000000000006</v>
      </c>
      <c r="F164" s="13">
        <v>162</v>
      </c>
      <c r="G164" s="13">
        <v>291.60000000000002</v>
      </c>
    </row>
    <row r="165" spans="3:7" x14ac:dyDescent="0.25">
      <c r="C165" s="11" t="s">
        <v>167</v>
      </c>
      <c r="D165" s="13">
        <f t="shared" si="2"/>
        <v>18.41</v>
      </c>
      <c r="E165" s="17">
        <f t="shared" si="3"/>
        <v>18.41888888888889</v>
      </c>
      <c r="F165" s="13">
        <v>92.05</v>
      </c>
      <c r="G165" s="13">
        <v>165.77</v>
      </c>
    </row>
    <row r="166" spans="3:7" x14ac:dyDescent="0.25">
      <c r="C166" s="11" t="s">
        <v>168</v>
      </c>
      <c r="D166" s="13">
        <f t="shared" si="2"/>
        <v>15.4</v>
      </c>
      <c r="E166" s="17">
        <f t="shared" si="3"/>
        <v>15.399999999999999</v>
      </c>
      <c r="F166" s="13">
        <v>77</v>
      </c>
      <c r="G166" s="13">
        <v>138.6</v>
      </c>
    </row>
    <row r="167" spans="3:7" x14ac:dyDescent="0.25">
      <c r="C167" s="11" t="s">
        <v>169</v>
      </c>
      <c r="D167" s="13">
        <f t="shared" si="2"/>
        <v>22.7</v>
      </c>
      <c r="E167" s="17">
        <f t="shared" si="3"/>
        <v>22.700000000000003</v>
      </c>
      <c r="F167" s="13">
        <v>113.5</v>
      </c>
      <c r="G167" s="13">
        <v>204.3</v>
      </c>
    </row>
    <row r="168" spans="3:7" x14ac:dyDescent="0.25">
      <c r="C168" s="11" t="s">
        <v>170</v>
      </c>
      <c r="D168" s="13">
        <f t="shared" si="2"/>
        <v>7.6</v>
      </c>
      <c r="E168" s="17">
        <f t="shared" si="3"/>
        <v>7.6000000000000005</v>
      </c>
      <c r="F168" s="13">
        <v>38</v>
      </c>
      <c r="G168" s="13">
        <v>68.400000000000006</v>
      </c>
    </row>
    <row r="169" spans="3:7" x14ac:dyDescent="0.25">
      <c r="C169" s="11" t="s">
        <v>171</v>
      </c>
      <c r="D169" s="13">
        <f t="shared" si="2"/>
        <v>7.9</v>
      </c>
      <c r="E169" s="17">
        <f t="shared" si="3"/>
        <v>7.8999999999999995</v>
      </c>
      <c r="F169" s="13">
        <v>39.5</v>
      </c>
      <c r="G169" s="13">
        <v>71.099999999999994</v>
      </c>
    </row>
    <row r="170" spans="3:7" x14ac:dyDescent="0.25">
      <c r="C170" s="14" t="s">
        <v>172</v>
      </c>
      <c r="D170" s="15">
        <f t="shared" si="2"/>
        <v>7.6</v>
      </c>
      <c r="E170" s="18">
        <f t="shared" si="3"/>
        <v>7.6000000000000005</v>
      </c>
      <c r="F170" s="13">
        <v>38</v>
      </c>
      <c r="G170" s="13">
        <v>68.400000000000006</v>
      </c>
    </row>
    <row r="171" spans="3:7" x14ac:dyDescent="0.25">
      <c r="C171" s="11" t="s">
        <v>173</v>
      </c>
      <c r="D171" s="13">
        <f t="shared" si="2"/>
        <v>16.899999999999999</v>
      </c>
      <c r="E171" s="17">
        <f t="shared" si="3"/>
        <v>16.899999999999999</v>
      </c>
      <c r="F171" s="13">
        <v>84.5</v>
      </c>
      <c r="G171" s="13">
        <v>152.1</v>
      </c>
    </row>
    <row r="172" spans="3:7" x14ac:dyDescent="0.25">
      <c r="C172" s="11" t="s">
        <v>174</v>
      </c>
      <c r="D172" s="13" t="str">
        <f t="shared" si="2"/>
        <v>SEM PEDAGIO</v>
      </c>
      <c r="E172" s="17" t="str">
        <f t="shared" si="3"/>
        <v>SEM PEDAGIO</v>
      </c>
      <c r="F172" s="13"/>
      <c r="G172" s="13"/>
    </row>
    <row r="173" spans="3:7" x14ac:dyDescent="0.25">
      <c r="C173" s="11" t="s">
        <v>175</v>
      </c>
      <c r="D173" s="13">
        <f t="shared" si="2"/>
        <v>7.6</v>
      </c>
      <c r="E173" s="17">
        <f t="shared" si="3"/>
        <v>7.6000000000000005</v>
      </c>
      <c r="F173" s="13">
        <v>38</v>
      </c>
      <c r="G173" s="13">
        <v>68.400000000000006</v>
      </c>
    </row>
    <row r="174" spans="3:7" x14ac:dyDescent="0.25">
      <c r="C174" s="11" t="s">
        <v>176</v>
      </c>
      <c r="D174" s="13">
        <f t="shared" si="2"/>
        <v>16.899999999999999</v>
      </c>
      <c r="E174" s="17">
        <f t="shared" si="3"/>
        <v>16.899999999999999</v>
      </c>
      <c r="F174" s="13">
        <v>84.5</v>
      </c>
      <c r="G174" s="13">
        <v>152.1</v>
      </c>
    </row>
    <row r="175" spans="3:7" x14ac:dyDescent="0.25">
      <c r="C175" s="11" t="s">
        <v>177</v>
      </c>
      <c r="D175" s="13">
        <f t="shared" si="2"/>
        <v>18.41</v>
      </c>
      <c r="E175" s="17">
        <f t="shared" si="3"/>
        <v>18.41888888888889</v>
      </c>
      <c r="F175" s="13">
        <v>92.05</v>
      </c>
      <c r="G175" s="13">
        <v>165.77</v>
      </c>
    </row>
    <row r="176" spans="3:7" x14ac:dyDescent="0.25">
      <c r="C176" s="11" t="s">
        <v>178</v>
      </c>
      <c r="D176" s="13">
        <f t="shared" si="2"/>
        <v>16.899999999999999</v>
      </c>
      <c r="E176" s="17">
        <f t="shared" si="3"/>
        <v>16.899999999999999</v>
      </c>
      <c r="F176" s="13">
        <v>84.5</v>
      </c>
      <c r="G176" s="13">
        <v>152.1</v>
      </c>
    </row>
    <row r="177" spans="3:13" x14ac:dyDescent="0.25">
      <c r="C177" s="2" t="s">
        <v>157</v>
      </c>
      <c r="D177" s="5" t="str">
        <f t="shared" si="2"/>
        <v>SEM PEDAGIO</v>
      </c>
      <c r="E177" s="22" t="str">
        <f t="shared" si="3"/>
        <v>SEM PEDAGIO</v>
      </c>
      <c r="F177" s="4"/>
      <c r="G177" s="4"/>
    </row>
    <row r="178" spans="3:13" x14ac:dyDescent="0.25">
      <c r="C178" s="11" t="s">
        <v>180</v>
      </c>
      <c r="D178" s="13">
        <f t="shared" si="2"/>
        <v>20.11</v>
      </c>
      <c r="E178" s="17">
        <f t="shared" si="3"/>
        <v>20.11888888888889</v>
      </c>
      <c r="F178" s="13">
        <v>100.55</v>
      </c>
      <c r="G178" s="13">
        <v>181.07</v>
      </c>
    </row>
    <row r="179" spans="3:13" x14ac:dyDescent="0.25">
      <c r="C179" s="21" t="s">
        <v>157</v>
      </c>
      <c r="D179" s="13" t="str">
        <f t="shared" si="2"/>
        <v>SEM PEDAGIO</v>
      </c>
      <c r="E179" s="17" t="str">
        <f t="shared" si="3"/>
        <v>SEM PEDAGIO</v>
      </c>
      <c r="F179" s="13"/>
      <c r="G179" s="13"/>
    </row>
    <row r="180" spans="3:13" x14ac:dyDescent="0.25">
      <c r="C180" s="2" t="s">
        <v>12</v>
      </c>
      <c r="D180" s="8">
        <v>21.64</v>
      </c>
      <c r="E180" s="26">
        <v>21.64</v>
      </c>
      <c r="F180" s="13"/>
      <c r="G180" s="13"/>
    </row>
    <row r="181" spans="3:13" x14ac:dyDescent="0.25">
      <c r="C181" s="11" t="s">
        <v>183</v>
      </c>
      <c r="D181" s="13">
        <f t="shared" ref="D181:D186" si="4">IF(ISNUMBER(F181), F181/5, "SEM PEDAGIO")</f>
        <v>24.036000000000001</v>
      </c>
      <c r="E181" s="17">
        <f t="shared" ref="E181:E186" si="5">IF(ISNUMBER(G181), G181/9, "SEM PEDAGIO")</f>
        <v>24.9</v>
      </c>
      <c r="F181" s="13">
        <v>120.18</v>
      </c>
      <c r="G181" s="13">
        <v>224.1</v>
      </c>
    </row>
    <row r="182" spans="3:13" x14ac:dyDescent="0.25">
      <c r="C182" s="11" t="s">
        <v>184</v>
      </c>
      <c r="D182" s="13">
        <f t="shared" si="4"/>
        <v>15.4</v>
      </c>
      <c r="E182" s="17">
        <f t="shared" si="5"/>
        <v>15.399999999999999</v>
      </c>
      <c r="F182" s="13">
        <v>77</v>
      </c>
      <c r="G182" s="13">
        <v>138.6</v>
      </c>
    </row>
    <row r="183" spans="3:13" x14ac:dyDescent="0.25">
      <c r="C183" s="11" t="s">
        <v>185</v>
      </c>
      <c r="D183" s="13">
        <f t="shared" si="4"/>
        <v>67.099999999999994</v>
      </c>
      <c r="E183" s="17">
        <f t="shared" si="5"/>
        <v>67.099999999999994</v>
      </c>
      <c r="F183" s="13">
        <v>335.5</v>
      </c>
      <c r="G183" s="13">
        <v>603.9</v>
      </c>
    </row>
    <row r="184" spans="3:13" x14ac:dyDescent="0.25">
      <c r="C184" s="11" t="s">
        <v>186</v>
      </c>
      <c r="D184" s="13">
        <f t="shared" si="4"/>
        <v>16.899999999999999</v>
      </c>
      <c r="E184" s="17">
        <f t="shared" si="5"/>
        <v>16.899999999999999</v>
      </c>
      <c r="F184" s="13">
        <v>84.5</v>
      </c>
      <c r="G184" s="13">
        <v>152.1</v>
      </c>
    </row>
    <row r="185" spans="3:13" x14ac:dyDescent="0.25">
      <c r="C185" s="11" t="s">
        <v>187</v>
      </c>
      <c r="D185" s="13" t="str">
        <f t="shared" si="4"/>
        <v>SEM PEDAGIO</v>
      </c>
      <c r="E185" s="17" t="str">
        <f t="shared" si="5"/>
        <v>SEM PEDAGIO</v>
      </c>
      <c r="F185" s="13"/>
      <c r="G185" s="13"/>
    </row>
    <row r="186" spans="3:13" x14ac:dyDescent="0.25">
      <c r="C186" s="21" t="s">
        <v>12</v>
      </c>
      <c r="D186" s="13">
        <f t="shared" si="4"/>
        <v>22.456</v>
      </c>
      <c r="E186" s="17">
        <f t="shared" si="5"/>
        <v>22.451111111111111</v>
      </c>
      <c r="F186" s="13">
        <v>112.28</v>
      </c>
      <c r="G186" s="13">
        <v>202.06</v>
      </c>
    </row>
    <row r="187" spans="3:13" x14ac:dyDescent="0.25">
      <c r="C187" s="3" t="s">
        <v>108</v>
      </c>
      <c r="D187" s="4">
        <v>0</v>
      </c>
      <c r="E187" s="27">
        <v>0</v>
      </c>
      <c r="F187" s="13"/>
      <c r="G187" s="13"/>
    </row>
    <row r="188" spans="3:13" x14ac:dyDescent="0.25">
      <c r="C188" s="11" t="s">
        <v>190</v>
      </c>
      <c r="D188" s="13">
        <f>IF(ISNUMBER(F188), F188/5, "SEM PEDAGIO")</f>
        <v>15.4</v>
      </c>
      <c r="E188" s="17">
        <f>IF(ISNUMBER(G188), G188/9, "SEM PEDAGIO")</f>
        <v>15.399999999999999</v>
      </c>
      <c r="F188" s="13">
        <v>77</v>
      </c>
      <c r="G188" s="13">
        <v>138.6</v>
      </c>
    </row>
    <row r="189" spans="3:13" x14ac:dyDescent="0.25">
      <c r="C189" s="21" t="s">
        <v>108</v>
      </c>
      <c r="D189" s="13" t="str">
        <f>IF(ISNUMBER(F189), F189/5, "SEM PEDAGIO")</f>
        <v>SEM PEDAGIO</v>
      </c>
      <c r="E189" s="17" t="str">
        <f>IF(ISNUMBER(G189), G189/9, "SEM PEDAGIO")</f>
        <v>SEM PEDAGIO</v>
      </c>
      <c r="F189" s="13"/>
      <c r="G189" s="13"/>
    </row>
    <row r="190" spans="3:13" x14ac:dyDescent="0.25">
      <c r="C190" s="3" t="s">
        <v>48</v>
      </c>
      <c r="D190" s="4">
        <v>14.9</v>
      </c>
      <c r="E190" s="27">
        <v>14.9</v>
      </c>
      <c r="F190" s="13"/>
      <c r="G190" s="13"/>
    </row>
    <row r="191" spans="3:13" x14ac:dyDescent="0.25">
      <c r="C191" s="11" t="s">
        <v>193</v>
      </c>
      <c r="D191" s="13">
        <f t="shared" ref="D191:D215" si="6">IF(ISNUMBER(F191), F191/5, "SEM PEDAGIO")</f>
        <v>32.1</v>
      </c>
      <c r="E191" s="17">
        <f t="shared" ref="E191:E215" si="7">IF(ISNUMBER(G191), G191/9, "SEM PEDAGIO")</f>
        <v>32.099999999999994</v>
      </c>
      <c r="F191" s="13">
        <v>160.5</v>
      </c>
      <c r="G191" s="13">
        <v>288.89999999999998</v>
      </c>
    </row>
    <row r="192" spans="3:13" x14ac:dyDescent="0.25">
      <c r="C192" s="11" t="s">
        <v>194</v>
      </c>
      <c r="D192" s="13">
        <f t="shared" si="6"/>
        <v>19.225999999999999</v>
      </c>
      <c r="E192" s="17">
        <f t="shared" si="7"/>
        <v>19.221111111111114</v>
      </c>
      <c r="F192" s="13">
        <v>96.13</v>
      </c>
      <c r="G192" s="13">
        <v>172.99</v>
      </c>
      <c r="I192" s="11" t="s">
        <v>193</v>
      </c>
      <c r="J192" s="13">
        <f t="shared" ref="J192:J203" si="8">IF(ISNUMBER(L192), L192/5, "SEM PEDAGIO")</f>
        <v>32.1</v>
      </c>
      <c r="K192" s="13">
        <f t="shared" ref="K192:K203" si="9">IF(ISNUMBER(M192), M192/9, "SEM PEDAGIO")</f>
        <v>32.099999999999994</v>
      </c>
      <c r="L192" s="12">
        <v>160.5</v>
      </c>
      <c r="M192" s="12">
        <v>288.89999999999998</v>
      </c>
    </row>
    <row r="193" spans="1:13" x14ac:dyDescent="0.25">
      <c r="C193" s="11" t="s">
        <v>195</v>
      </c>
      <c r="D193" s="13">
        <f t="shared" si="6"/>
        <v>15.4</v>
      </c>
      <c r="E193" s="17">
        <f t="shared" si="7"/>
        <v>15.399999999999999</v>
      </c>
      <c r="F193" s="13">
        <v>77</v>
      </c>
      <c r="G193" s="13">
        <v>138.6</v>
      </c>
      <c r="I193" s="11" t="s">
        <v>194</v>
      </c>
      <c r="J193" s="13">
        <f t="shared" si="8"/>
        <v>19.225999999999999</v>
      </c>
      <c r="K193" s="13">
        <f t="shared" si="9"/>
        <v>19.221111111111114</v>
      </c>
      <c r="L193" s="12">
        <v>96.13</v>
      </c>
      <c r="M193" s="12">
        <v>172.99</v>
      </c>
    </row>
    <row r="194" spans="1:13" x14ac:dyDescent="0.25">
      <c r="C194" s="11" t="s">
        <v>196</v>
      </c>
      <c r="D194" s="13">
        <f t="shared" si="6"/>
        <v>22.7</v>
      </c>
      <c r="E194" s="17">
        <f t="shared" si="7"/>
        <v>22.700000000000003</v>
      </c>
      <c r="F194" s="13">
        <v>113.5</v>
      </c>
      <c r="G194" s="13">
        <v>204.3</v>
      </c>
      <c r="I194" s="11" t="s">
        <v>195</v>
      </c>
      <c r="J194" s="13">
        <f t="shared" si="8"/>
        <v>15.4</v>
      </c>
      <c r="K194" s="13">
        <f t="shared" si="9"/>
        <v>15.399999999999999</v>
      </c>
      <c r="L194" s="12">
        <v>77</v>
      </c>
      <c r="M194" s="12">
        <v>138.6</v>
      </c>
    </row>
    <row r="195" spans="1:13" x14ac:dyDescent="0.25">
      <c r="C195" s="16" t="s">
        <v>204</v>
      </c>
      <c r="D195" s="13">
        <f t="shared" si="6"/>
        <v>80.075999999999993</v>
      </c>
      <c r="E195" s="17">
        <f t="shared" si="7"/>
        <v>80.08</v>
      </c>
      <c r="F195" s="13">
        <v>400.38</v>
      </c>
      <c r="G195" s="13">
        <v>720.72</v>
      </c>
      <c r="I195" s="11" t="s">
        <v>196</v>
      </c>
      <c r="J195" s="13">
        <f t="shared" si="8"/>
        <v>22.7</v>
      </c>
      <c r="K195" s="13">
        <f t="shared" si="9"/>
        <v>22.700000000000003</v>
      </c>
      <c r="L195" s="12">
        <v>113.5</v>
      </c>
      <c r="M195" s="12">
        <v>204.3</v>
      </c>
    </row>
    <row r="196" spans="1:13" x14ac:dyDescent="0.25">
      <c r="C196" s="11" t="s">
        <v>197</v>
      </c>
      <c r="D196" s="13">
        <f t="shared" si="6"/>
        <v>15.4</v>
      </c>
      <c r="E196" s="17">
        <f t="shared" si="7"/>
        <v>15.399999999999999</v>
      </c>
      <c r="F196" s="13">
        <v>77</v>
      </c>
      <c r="G196" s="13">
        <v>138.6</v>
      </c>
      <c r="I196" s="16" t="s">
        <v>204</v>
      </c>
      <c r="J196" s="13">
        <f t="shared" si="8"/>
        <v>80.075999999999993</v>
      </c>
      <c r="K196" s="13">
        <f t="shared" si="9"/>
        <v>80.08</v>
      </c>
      <c r="L196" s="12">
        <v>400.38</v>
      </c>
      <c r="M196" s="12">
        <v>720.72</v>
      </c>
    </row>
    <row r="197" spans="1:13" x14ac:dyDescent="0.25">
      <c r="C197" s="11" t="s">
        <v>198</v>
      </c>
      <c r="D197" s="13" t="str">
        <f t="shared" si="6"/>
        <v>SEM PEDAGIO</v>
      </c>
      <c r="E197" s="17" t="str">
        <f t="shared" si="7"/>
        <v>SEM PEDAGIO</v>
      </c>
      <c r="F197" s="13"/>
      <c r="G197" s="13"/>
      <c r="I197" s="11" t="s">
        <v>197</v>
      </c>
      <c r="J197" s="13">
        <f t="shared" si="8"/>
        <v>15.4</v>
      </c>
      <c r="K197" s="13">
        <f t="shared" si="9"/>
        <v>15.399999999999999</v>
      </c>
      <c r="L197" s="12">
        <v>77</v>
      </c>
      <c r="M197" s="12">
        <v>138.6</v>
      </c>
    </row>
    <row r="198" spans="1:13" x14ac:dyDescent="0.25">
      <c r="C198" s="11" t="s">
        <v>199</v>
      </c>
      <c r="D198" s="13">
        <f t="shared" si="6"/>
        <v>18.809999999999999</v>
      </c>
      <c r="E198" s="17">
        <f t="shared" si="7"/>
        <v>18.82</v>
      </c>
      <c r="F198" s="13">
        <v>94.05</v>
      </c>
      <c r="G198" s="13">
        <v>169.38</v>
      </c>
      <c r="I198" s="11" t="s">
        <v>198</v>
      </c>
      <c r="J198" s="13" t="str">
        <f t="shared" si="8"/>
        <v>SEM PEDAGIO</v>
      </c>
      <c r="K198" s="13" t="str">
        <f t="shared" si="9"/>
        <v>SEM PEDAGIO</v>
      </c>
      <c r="L198" s="12"/>
      <c r="M198" s="12"/>
    </row>
    <row r="199" spans="1:13" x14ac:dyDescent="0.25">
      <c r="C199" s="11" t="s">
        <v>200</v>
      </c>
      <c r="D199" s="13">
        <f t="shared" si="6"/>
        <v>18.809999999999999</v>
      </c>
      <c r="E199" s="17">
        <f t="shared" si="7"/>
        <v>18.82</v>
      </c>
      <c r="F199" s="13">
        <v>94.05</v>
      </c>
      <c r="G199" s="13">
        <v>169.38</v>
      </c>
      <c r="I199" s="11" t="s">
        <v>199</v>
      </c>
      <c r="J199" s="13">
        <f t="shared" si="8"/>
        <v>18.809999999999999</v>
      </c>
      <c r="K199" s="13">
        <f t="shared" si="9"/>
        <v>18.82</v>
      </c>
      <c r="L199" s="12">
        <v>94.05</v>
      </c>
      <c r="M199" s="12">
        <v>169.38</v>
      </c>
    </row>
    <row r="200" spans="1:13" x14ac:dyDescent="0.25">
      <c r="C200" s="11" t="s">
        <v>201</v>
      </c>
      <c r="D200" s="13">
        <f t="shared" si="6"/>
        <v>18.809999999999999</v>
      </c>
      <c r="E200" s="17">
        <f t="shared" si="7"/>
        <v>18.82</v>
      </c>
      <c r="F200" s="13">
        <v>94.05</v>
      </c>
      <c r="G200" s="13">
        <v>169.38</v>
      </c>
      <c r="I200" s="11" t="s">
        <v>200</v>
      </c>
      <c r="J200" s="13">
        <f t="shared" si="8"/>
        <v>18.809999999999999</v>
      </c>
      <c r="K200" s="13">
        <f t="shared" si="9"/>
        <v>18.82</v>
      </c>
      <c r="L200" s="12">
        <v>94.05</v>
      </c>
      <c r="M200" s="12">
        <v>169.38</v>
      </c>
    </row>
    <row r="201" spans="1:13" x14ac:dyDescent="0.25">
      <c r="C201" s="11" t="s">
        <v>202</v>
      </c>
      <c r="D201" s="13">
        <f t="shared" si="6"/>
        <v>32.1</v>
      </c>
      <c r="E201" s="17">
        <f t="shared" si="7"/>
        <v>32.099999999999994</v>
      </c>
      <c r="F201" s="13">
        <v>160.5</v>
      </c>
      <c r="G201" s="13">
        <v>288.89999999999998</v>
      </c>
      <c r="I201" s="11" t="s">
        <v>201</v>
      </c>
      <c r="J201" s="13">
        <f t="shared" si="8"/>
        <v>18.809999999999999</v>
      </c>
      <c r="K201" s="13">
        <f t="shared" si="9"/>
        <v>18.82</v>
      </c>
      <c r="L201" s="12">
        <v>94.05</v>
      </c>
      <c r="M201" s="12">
        <v>169.38</v>
      </c>
    </row>
    <row r="202" spans="1:13" x14ac:dyDescent="0.25">
      <c r="C202" s="11" t="s">
        <v>203</v>
      </c>
      <c r="D202" s="13">
        <f t="shared" si="6"/>
        <v>18.809999999999999</v>
      </c>
      <c r="E202" s="17">
        <f t="shared" si="7"/>
        <v>18.82</v>
      </c>
      <c r="F202" s="13">
        <v>94.05</v>
      </c>
      <c r="G202" s="13">
        <v>169.38</v>
      </c>
      <c r="I202" s="11" t="s">
        <v>202</v>
      </c>
      <c r="J202" s="13">
        <f t="shared" si="8"/>
        <v>32.1</v>
      </c>
      <c r="K202" s="13">
        <f t="shared" si="9"/>
        <v>32.099999999999994</v>
      </c>
      <c r="L202" s="12">
        <v>160.5</v>
      </c>
      <c r="M202" s="12">
        <v>288.89999999999998</v>
      </c>
    </row>
    <row r="203" spans="1:13" x14ac:dyDescent="0.25">
      <c r="C203" s="16" t="s">
        <v>205</v>
      </c>
      <c r="D203" s="13" t="str">
        <f t="shared" si="6"/>
        <v>SEM PEDAGIO</v>
      </c>
      <c r="E203" s="13">
        <f t="shared" si="7"/>
        <v>16.899999999999999</v>
      </c>
      <c r="F203" s="13"/>
      <c r="G203" s="13">
        <v>152.1</v>
      </c>
      <c r="I203" s="11" t="s">
        <v>203</v>
      </c>
      <c r="J203" s="13">
        <f t="shared" si="8"/>
        <v>18.809999999999999</v>
      </c>
      <c r="K203" s="13">
        <f t="shared" si="9"/>
        <v>18.82</v>
      </c>
      <c r="L203" s="12">
        <v>94.05</v>
      </c>
      <c r="M203" s="12">
        <v>169.38</v>
      </c>
    </row>
    <row r="204" spans="1:13" x14ac:dyDescent="0.25">
      <c r="D204" s="19" t="str">
        <f t="shared" si="6"/>
        <v>SEM PEDAGIO</v>
      </c>
      <c r="E204" s="20" t="str">
        <f t="shared" si="7"/>
        <v>SEM PEDAGIO</v>
      </c>
    </row>
    <row r="205" spans="1:13" x14ac:dyDescent="0.25">
      <c r="A205" s="52" t="s">
        <v>208</v>
      </c>
      <c r="B205" s="53"/>
      <c r="C205" s="21" t="s">
        <v>130</v>
      </c>
      <c r="D205" s="13">
        <f t="shared" si="6"/>
        <v>86.376000000000005</v>
      </c>
      <c r="E205" s="13">
        <f t="shared" si="7"/>
        <v>86.38</v>
      </c>
      <c r="F205" s="13">
        <v>431.88</v>
      </c>
      <c r="G205" s="13">
        <v>777.42</v>
      </c>
    </row>
    <row r="206" spans="1:13" x14ac:dyDescent="0.25">
      <c r="A206" s="52"/>
      <c r="B206" s="53"/>
      <c r="C206" s="21" t="s">
        <v>92</v>
      </c>
      <c r="D206" s="13">
        <f t="shared" si="6"/>
        <v>14.436000000000002</v>
      </c>
      <c r="E206" s="13">
        <f t="shared" si="7"/>
        <v>14.444444444444445</v>
      </c>
      <c r="F206" s="13">
        <v>72.180000000000007</v>
      </c>
      <c r="G206" s="13">
        <v>130</v>
      </c>
      <c r="I206" s="1" t="s">
        <v>27</v>
      </c>
      <c r="J206" s="1" t="s">
        <v>0</v>
      </c>
      <c r="K206" s="1" t="s">
        <v>1</v>
      </c>
    </row>
    <row r="207" spans="1:13" x14ac:dyDescent="0.25">
      <c r="A207" s="52"/>
      <c r="B207" s="53"/>
      <c r="C207" s="21" t="s">
        <v>206</v>
      </c>
      <c r="D207" s="13">
        <f t="shared" si="6"/>
        <v>67.099999999999994</v>
      </c>
      <c r="E207" s="13">
        <f t="shared" si="7"/>
        <v>67.099999999999994</v>
      </c>
      <c r="F207" s="13">
        <v>335.5</v>
      </c>
      <c r="G207" s="13">
        <v>603.9</v>
      </c>
      <c r="I207" s="16" t="s">
        <v>42</v>
      </c>
      <c r="J207" s="13">
        <f t="shared" ref="J207" si="10">IF(ISNUMBER(L207), L207/5, "SEM PEDAGIO")</f>
        <v>69.602000000000004</v>
      </c>
      <c r="K207" s="13">
        <f t="shared" ref="K207" si="11">IF(ISNUMBER(M207), M207/9, "SEM PEDAGIO")</f>
        <v>69.601111111111109</v>
      </c>
      <c r="L207" s="13">
        <v>348.01</v>
      </c>
      <c r="M207" s="13">
        <v>626.41</v>
      </c>
    </row>
    <row r="208" spans="1:13" x14ac:dyDescent="0.25">
      <c r="A208" s="52"/>
      <c r="B208" s="53"/>
      <c r="C208" s="21" t="s">
        <v>177</v>
      </c>
      <c r="D208" s="13">
        <f t="shared" si="6"/>
        <v>18.809999999999999</v>
      </c>
      <c r="E208" s="13">
        <f t="shared" si="7"/>
        <v>18.82</v>
      </c>
      <c r="F208" s="13">
        <v>94.05</v>
      </c>
      <c r="G208" s="13">
        <v>169.38</v>
      </c>
    </row>
    <row r="209" spans="1:14" x14ac:dyDescent="0.25">
      <c r="A209" s="52"/>
      <c r="B209" s="53"/>
      <c r="C209" s="21" t="s">
        <v>186</v>
      </c>
      <c r="D209" s="13">
        <f t="shared" si="6"/>
        <v>16.899999999999999</v>
      </c>
      <c r="E209" s="13">
        <f t="shared" si="7"/>
        <v>16.899999999999999</v>
      </c>
      <c r="F209" s="13">
        <v>84.5</v>
      </c>
      <c r="G209" s="13">
        <v>152.1</v>
      </c>
      <c r="J209" s="23" t="s">
        <v>27</v>
      </c>
      <c r="K209" s="23" t="s">
        <v>0</v>
      </c>
      <c r="L209" s="23" t="s">
        <v>1</v>
      </c>
    </row>
    <row r="210" spans="1:14" x14ac:dyDescent="0.25">
      <c r="A210" s="52"/>
      <c r="B210" s="53"/>
      <c r="C210" s="21" t="s">
        <v>185</v>
      </c>
      <c r="D210" s="13">
        <f t="shared" si="6"/>
        <v>67.099999999999994</v>
      </c>
      <c r="E210" s="13">
        <f t="shared" si="7"/>
        <v>67.099999999999994</v>
      </c>
      <c r="F210" s="13">
        <v>335.5</v>
      </c>
      <c r="G210" s="13">
        <v>603.9</v>
      </c>
      <c r="J210" s="24" t="s">
        <v>130</v>
      </c>
      <c r="K210" s="25">
        <f t="shared" ref="K210:K230" si="12">IF(ISNUMBER(M210), M210/5, "SEM PEDAGIO")</f>
        <v>86.376000000000005</v>
      </c>
      <c r="L210" s="25">
        <f t="shared" ref="L210:L230" si="13">IF(ISNUMBER(N210), N210/9, "SEM PEDAGIO")</f>
        <v>86.38</v>
      </c>
      <c r="M210" s="13">
        <v>431.88</v>
      </c>
      <c r="N210" s="13">
        <v>777.42</v>
      </c>
    </row>
    <row r="211" spans="1:14" x14ac:dyDescent="0.25">
      <c r="A211" s="52"/>
      <c r="B211" s="53"/>
      <c r="C211" s="21" t="s">
        <v>156</v>
      </c>
      <c r="D211" s="13">
        <f t="shared" si="6"/>
        <v>16.236000000000001</v>
      </c>
      <c r="E211" s="13">
        <f t="shared" si="7"/>
        <v>24.144444444444446</v>
      </c>
      <c r="F211" s="13">
        <v>81.180000000000007</v>
      </c>
      <c r="G211" s="13">
        <v>217.3</v>
      </c>
      <c r="J211" s="24" t="s">
        <v>92</v>
      </c>
      <c r="K211" s="25">
        <f t="shared" si="12"/>
        <v>14.436000000000002</v>
      </c>
      <c r="L211" s="25">
        <f t="shared" si="13"/>
        <v>14.444444444444445</v>
      </c>
      <c r="M211" s="13">
        <v>72.180000000000007</v>
      </c>
      <c r="N211" s="13">
        <v>130</v>
      </c>
    </row>
    <row r="212" spans="1:14" x14ac:dyDescent="0.25">
      <c r="A212" s="52"/>
      <c r="B212" s="53"/>
      <c r="C212" s="21" t="s">
        <v>184</v>
      </c>
      <c r="D212" s="13">
        <f t="shared" si="6"/>
        <v>15.4</v>
      </c>
      <c r="E212" s="13">
        <f t="shared" si="7"/>
        <v>15.399999999999999</v>
      </c>
      <c r="F212" s="13">
        <v>77</v>
      </c>
      <c r="G212" s="13">
        <v>138.6</v>
      </c>
      <c r="J212" s="24" t="s">
        <v>206</v>
      </c>
      <c r="K212" s="25">
        <f t="shared" si="12"/>
        <v>67.099999999999994</v>
      </c>
      <c r="L212" s="25">
        <f t="shared" si="13"/>
        <v>67.099999999999994</v>
      </c>
      <c r="M212" s="13">
        <v>335.5</v>
      </c>
      <c r="N212" s="13">
        <v>603.9</v>
      </c>
    </row>
    <row r="213" spans="1:14" x14ac:dyDescent="0.25">
      <c r="A213" s="52"/>
      <c r="B213" s="53"/>
      <c r="C213" s="21" t="s">
        <v>95</v>
      </c>
      <c r="D213" s="13">
        <f t="shared" si="6"/>
        <v>14.436000000000002</v>
      </c>
      <c r="E213" s="13">
        <f t="shared" si="7"/>
        <v>14.444444444444445</v>
      </c>
      <c r="F213" s="13">
        <v>72.180000000000007</v>
      </c>
      <c r="G213" s="13">
        <v>130</v>
      </c>
      <c r="J213" s="24" t="s">
        <v>177</v>
      </c>
      <c r="K213" s="25">
        <f t="shared" si="12"/>
        <v>18.809999999999999</v>
      </c>
      <c r="L213" s="25">
        <f t="shared" si="13"/>
        <v>18.82</v>
      </c>
      <c r="M213" s="13">
        <v>94.05</v>
      </c>
      <c r="N213" s="13">
        <v>169.38</v>
      </c>
    </row>
    <row r="214" spans="1:14" x14ac:dyDescent="0.25">
      <c r="A214" s="52"/>
      <c r="B214" s="53"/>
      <c r="C214" s="21" t="s">
        <v>187</v>
      </c>
      <c r="D214" s="13" t="str">
        <f t="shared" si="6"/>
        <v>SEM PEDAGIO</v>
      </c>
      <c r="E214" s="13" t="str">
        <f t="shared" si="7"/>
        <v>SEM PEDAGIO</v>
      </c>
      <c r="F214" s="13"/>
      <c r="G214" s="13"/>
      <c r="J214" s="24" t="s">
        <v>186</v>
      </c>
      <c r="K214" s="25">
        <f t="shared" si="12"/>
        <v>16.899999999999999</v>
      </c>
      <c r="L214" s="25">
        <f t="shared" si="13"/>
        <v>16.899999999999999</v>
      </c>
      <c r="M214" s="13">
        <v>84.5</v>
      </c>
      <c r="N214" s="13">
        <v>152.1</v>
      </c>
    </row>
    <row r="215" spans="1:14" x14ac:dyDescent="0.25">
      <c r="A215" s="52"/>
      <c r="B215" s="53"/>
      <c r="C215" s="21" t="s">
        <v>48</v>
      </c>
      <c r="D215" s="13">
        <f t="shared" si="6"/>
        <v>6.5359999999999996</v>
      </c>
      <c r="E215" s="13">
        <f t="shared" si="7"/>
        <v>14.899999999999999</v>
      </c>
      <c r="F215" s="13">
        <v>32.68</v>
      </c>
      <c r="G215" s="13">
        <v>134.1</v>
      </c>
      <c r="J215" s="24" t="s">
        <v>185</v>
      </c>
      <c r="K215" s="25">
        <f t="shared" si="12"/>
        <v>67.099999999999994</v>
      </c>
      <c r="L215" s="25">
        <f t="shared" si="13"/>
        <v>67.099999999999994</v>
      </c>
      <c r="M215" s="13">
        <v>335.5</v>
      </c>
      <c r="N215" s="13">
        <v>603.9</v>
      </c>
    </row>
    <row r="216" spans="1:14" x14ac:dyDescent="0.25">
      <c r="A216" s="52"/>
      <c r="B216" s="53"/>
      <c r="C216" s="2" t="s">
        <v>64</v>
      </c>
      <c r="D216" s="5">
        <v>14.9</v>
      </c>
      <c r="E216" s="5">
        <v>14.9</v>
      </c>
      <c r="F216" s="13"/>
      <c r="G216" s="13"/>
      <c r="J216" s="24" t="s">
        <v>156</v>
      </c>
      <c r="K216" s="25">
        <f t="shared" si="12"/>
        <v>16.236000000000001</v>
      </c>
      <c r="L216" s="25">
        <f t="shared" si="13"/>
        <v>24.144444444444446</v>
      </c>
      <c r="M216" s="13">
        <v>81.180000000000007</v>
      </c>
      <c r="N216" s="13">
        <v>217.3</v>
      </c>
    </row>
    <row r="217" spans="1:14" x14ac:dyDescent="0.25">
      <c r="A217" s="52"/>
      <c r="B217" s="53"/>
      <c r="C217" s="2" t="s">
        <v>149</v>
      </c>
      <c r="D217" s="5">
        <f t="shared" ref="D217:D228" si="14">IF(ISNUMBER(F217), F217/5, "SEM PEDAGIO")</f>
        <v>79.62</v>
      </c>
      <c r="E217" s="5">
        <f t="shared" ref="E217:E228" si="15">IF(ISNUMBER(G217), G217/9, "SEM PEDAGIO")</f>
        <v>79.626666666666665</v>
      </c>
      <c r="F217" s="4">
        <v>398.1</v>
      </c>
      <c r="G217" s="4">
        <v>716.64</v>
      </c>
      <c r="J217" s="24" t="s">
        <v>184</v>
      </c>
      <c r="K217" s="25">
        <f t="shared" si="12"/>
        <v>15.4</v>
      </c>
      <c r="L217" s="25">
        <f t="shared" si="13"/>
        <v>15.399999999999999</v>
      </c>
      <c r="M217" s="13">
        <v>77</v>
      </c>
      <c r="N217" s="13">
        <v>138.6</v>
      </c>
    </row>
    <row r="218" spans="1:14" x14ac:dyDescent="0.25">
      <c r="A218" s="52"/>
      <c r="B218" s="53"/>
      <c r="C218" s="21" t="s">
        <v>149</v>
      </c>
      <c r="D218" s="13">
        <f t="shared" si="14"/>
        <v>80.075999999999993</v>
      </c>
      <c r="E218" s="13">
        <f t="shared" si="15"/>
        <v>80.08</v>
      </c>
      <c r="F218" s="13">
        <v>400.38</v>
      </c>
      <c r="G218" s="13">
        <v>720.72</v>
      </c>
      <c r="J218" s="24" t="s">
        <v>95</v>
      </c>
      <c r="K218" s="25">
        <f t="shared" si="12"/>
        <v>14.436000000000002</v>
      </c>
      <c r="L218" s="25">
        <f t="shared" si="13"/>
        <v>14.444444444444445</v>
      </c>
      <c r="M218" s="13">
        <v>72.180000000000007</v>
      </c>
      <c r="N218" s="13">
        <v>130</v>
      </c>
    </row>
    <row r="219" spans="1:14" x14ac:dyDescent="0.25">
      <c r="A219" s="52"/>
      <c r="B219" s="53"/>
      <c r="C219" s="11" t="s">
        <v>179</v>
      </c>
      <c r="D219" s="13">
        <f t="shared" si="14"/>
        <v>18.41</v>
      </c>
      <c r="E219" s="13">
        <f t="shared" si="15"/>
        <v>18.41888888888889</v>
      </c>
      <c r="F219" s="13">
        <v>92.05</v>
      </c>
      <c r="G219" s="13">
        <v>165.77</v>
      </c>
      <c r="J219" s="24" t="s">
        <v>187</v>
      </c>
      <c r="K219" s="25" t="str">
        <f t="shared" si="12"/>
        <v>SEM PEDAGIO</v>
      </c>
      <c r="L219" s="25" t="str">
        <f t="shared" si="13"/>
        <v>SEM PEDAGIO</v>
      </c>
      <c r="M219" s="13"/>
      <c r="N219" s="13"/>
    </row>
    <row r="220" spans="1:14" x14ac:dyDescent="0.25">
      <c r="A220" s="52"/>
      <c r="B220" s="53"/>
      <c r="C220" s="21" t="s">
        <v>179</v>
      </c>
      <c r="D220" s="13">
        <f t="shared" si="14"/>
        <v>18.809999999999999</v>
      </c>
      <c r="E220" s="13">
        <f t="shared" si="15"/>
        <v>18.82</v>
      </c>
      <c r="F220" s="13">
        <v>94.05</v>
      </c>
      <c r="G220" s="13">
        <v>169.38</v>
      </c>
      <c r="J220" s="24" t="s">
        <v>182</v>
      </c>
      <c r="K220" s="25">
        <f t="shared" si="12"/>
        <v>32.1</v>
      </c>
      <c r="L220" s="25">
        <f t="shared" si="13"/>
        <v>32.099999999999994</v>
      </c>
      <c r="M220" s="13">
        <v>160.5</v>
      </c>
      <c r="N220" s="13">
        <v>288.89999999999998</v>
      </c>
    </row>
    <row r="221" spans="1:14" x14ac:dyDescent="0.25">
      <c r="A221" s="52"/>
      <c r="B221" s="53"/>
      <c r="C221" s="11" t="s">
        <v>191</v>
      </c>
      <c r="D221" s="13">
        <f t="shared" si="14"/>
        <v>12.178000000000001</v>
      </c>
      <c r="E221" s="13">
        <f t="shared" si="15"/>
        <v>12.181111111111111</v>
      </c>
      <c r="F221" s="13">
        <v>60.89</v>
      </c>
      <c r="G221" s="13">
        <v>109.63</v>
      </c>
      <c r="J221" s="24" t="s">
        <v>188</v>
      </c>
      <c r="K221" s="25">
        <f t="shared" si="12"/>
        <v>12.634</v>
      </c>
      <c r="L221" s="25">
        <f t="shared" si="13"/>
        <v>12.634444444444444</v>
      </c>
      <c r="M221" s="13">
        <v>63.17</v>
      </c>
      <c r="N221" s="13">
        <v>113.71</v>
      </c>
    </row>
    <row r="222" spans="1:14" x14ac:dyDescent="0.25">
      <c r="A222" s="52"/>
      <c r="B222" s="53"/>
      <c r="C222" s="21" t="s">
        <v>191</v>
      </c>
      <c r="D222" s="13">
        <f t="shared" si="14"/>
        <v>18.809999999999999</v>
      </c>
      <c r="E222" s="13">
        <f t="shared" si="15"/>
        <v>18.82</v>
      </c>
      <c r="F222" s="13">
        <v>94.05</v>
      </c>
      <c r="G222" s="13">
        <v>169.38</v>
      </c>
      <c r="J222" s="24" t="s">
        <v>189</v>
      </c>
      <c r="K222" s="25">
        <f t="shared" si="12"/>
        <v>14.9</v>
      </c>
      <c r="L222" s="25">
        <f t="shared" si="13"/>
        <v>14.899999999999999</v>
      </c>
      <c r="M222" s="13">
        <v>74.5</v>
      </c>
      <c r="N222" s="13">
        <v>134.1</v>
      </c>
    </row>
    <row r="223" spans="1:14" x14ac:dyDescent="0.25">
      <c r="A223" s="52"/>
      <c r="B223" s="53"/>
      <c r="C223" s="11" t="s">
        <v>181</v>
      </c>
      <c r="D223" s="13">
        <f t="shared" si="14"/>
        <v>18.41</v>
      </c>
      <c r="E223" s="13">
        <f t="shared" si="15"/>
        <v>18.41888888888889</v>
      </c>
      <c r="F223" s="13">
        <v>92.05</v>
      </c>
      <c r="G223" s="13">
        <v>165.77</v>
      </c>
      <c r="J223" s="24" t="s">
        <v>42</v>
      </c>
      <c r="K223" s="25">
        <f t="shared" si="12"/>
        <v>69.602000000000004</v>
      </c>
      <c r="L223" s="25">
        <f t="shared" si="13"/>
        <v>69.601111111111109</v>
      </c>
      <c r="M223" s="13">
        <v>348.01</v>
      </c>
      <c r="N223" s="13">
        <v>626.41</v>
      </c>
    </row>
    <row r="224" spans="1:14" x14ac:dyDescent="0.25">
      <c r="A224" s="52"/>
      <c r="B224" s="53"/>
      <c r="C224" s="21" t="s">
        <v>181</v>
      </c>
      <c r="D224" s="13">
        <f t="shared" si="14"/>
        <v>18.809999999999999</v>
      </c>
      <c r="E224" s="13">
        <f t="shared" si="15"/>
        <v>18.82</v>
      </c>
      <c r="F224" s="13">
        <v>94.05</v>
      </c>
      <c r="G224" s="13">
        <v>169.38</v>
      </c>
      <c r="I224" t="s">
        <v>207</v>
      </c>
      <c r="J224" s="24" t="s">
        <v>157</v>
      </c>
      <c r="K224" s="25" t="str">
        <f t="shared" si="12"/>
        <v>SEM PEDAGIO</v>
      </c>
      <c r="L224" s="25" t="str">
        <f t="shared" si="13"/>
        <v>SEM PEDAGIO</v>
      </c>
      <c r="M224" s="13"/>
      <c r="N224" s="13"/>
    </row>
    <row r="225" spans="1:16" x14ac:dyDescent="0.25">
      <c r="A225" s="52"/>
      <c r="B225" s="53"/>
      <c r="C225" s="11" t="s">
        <v>192</v>
      </c>
      <c r="D225" s="13">
        <f t="shared" si="14"/>
        <v>7.6</v>
      </c>
      <c r="E225" s="13">
        <f t="shared" si="15"/>
        <v>7.6000000000000005</v>
      </c>
      <c r="F225" s="13">
        <v>38</v>
      </c>
      <c r="G225" s="13">
        <v>68.400000000000006</v>
      </c>
      <c r="J225" s="24" t="s">
        <v>12</v>
      </c>
      <c r="K225" s="25">
        <f t="shared" si="12"/>
        <v>22.456</v>
      </c>
      <c r="L225" s="25">
        <f t="shared" si="13"/>
        <v>22.451111111111111</v>
      </c>
      <c r="M225" s="13">
        <v>112.28</v>
      </c>
      <c r="N225" s="13">
        <v>202.06</v>
      </c>
    </row>
    <row r="226" spans="1:16" x14ac:dyDescent="0.25">
      <c r="A226" s="52"/>
      <c r="B226" s="53"/>
      <c r="C226" s="21" t="s">
        <v>192</v>
      </c>
      <c r="D226" s="13">
        <f t="shared" si="14"/>
        <v>7.6</v>
      </c>
      <c r="E226" s="13">
        <f t="shared" si="15"/>
        <v>7.6000000000000005</v>
      </c>
      <c r="F226" s="13">
        <v>38</v>
      </c>
      <c r="G226" s="13">
        <v>68.400000000000006</v>
      </c>
      <c r="J226" s="24" t="s">
        <v>108</v>
      </c>
      <c r="K226" s="25" t="str">
        <f t="shared" si="12"/>
        <v>SEM PEDAGIO</v>
      </c>
      <c r="L226" s="25" t="str">
        <f t="shared" si="13"/>
        <v>SEM PEDAGIO</v>
      </c>
      <c r="M226" s="13"/>
      <c r="N226" s="13"/>
    </row>
    <row r="227" spans="1:16" x14ac:dyDescent="0.25">
      <c r="A227" s="52"/>
      <c r="B227" s="53"/>
      <c r="C227" s="2" t="s">
        <v>155</v>
      </c>
      <c r="D227" s="5" t="str">
        <f t="shared" si="14"/>
        <v>SEM PEDAGIO</v>
      </c>
      <c r="E227" s="5" t="str">
        <f t="shared" si="15"/>
        <v>SEM PEDAGIO</v>
      </c>
      <c r="F227" s="4"/>
      <c r="G227" s="4"/>
      <c r="J227" s="24" t="s">
        <v>48</v>
      </c>
      <c r="K227" s="25">
        <f t="shared" si="12"/>
        <v>6.5359999999999996</v>
      </c>
      <c r="L227" s="25">
        <f t="shared" si="13"/>
        <v>14.899999999999999</v>
      </c>
      <c r="M227" s="13">
        <v>32.68</v>
      </c>
      <c r="N227" s="13">
        <v>134.1</v>
      </c>
    </row>
    <row r="228" spans="1:16" x14ac:dyDescent="0.25">
      <c r="A228" s="52"/>
      <c r="B228" s="53"/>
      <c r="C228" s="21" t="s">
        <v>155</v>
      </c>
      <c r="D228" s="13" t="str">
        <f t="shared" si="14"/>
        <v>SEM PEDAGIO</v>
      </c>
      <c r="E228" s="13" t="str">
        <f t="shared" si="15"/>
        <v>SEM PEDAGIO</v>
      </c>
      <c r="F228" s="13"/>
      <c r="G228" s="13"/>
      <c r="J228" s="24" t="s">
        <v>149</v>
      </c>
      <c r="K228" s="25">
        <f t="shared" si="12"/>
        <v>80.075999999999993</v>
      </c>
      <c r="L228" s="25">
        <f t="shared" si="13"/>
        <v>80.08</v>
      </c>
      <c r="M228" s="13">
        <v>400.38</v>
      </c>
      <c r="N228" s="13">
        <v>720.72</v>
      </c>
    </row>
    <row r="229" spans="1:16" x14ac:dyDescent="0.25">
      <c r="J229" s="24" t="s">
        <v>179</v>
      </c>
      <c r="K229" s="25">
        <f t="shared" si="12"/>
        <v>18.809999999999999</v>
      </c>
      <c r="L229" s="25">
        <f t="shared" si="13"/>
        <v>18.82</v>
      </c>
      <c r="M229" s="13">
        <v>94.05</v>
      </c>
      <c r="N229" s="13">
        <v>169.38</v>
      </c>
    </row>
    <row r="230" spans="1:16" x14ac:dyDescent="0.25">
      <c r="J230" s="24" t="s">
        <v>191</v>
      </c>
      <c r="K230" s="25">
        <f t="shared" si="12"/>
        <v>18.809999999999999</v>
      </c>
      <c r="L230" s="25">
        <f t="shared" si="13"/>
        <v>18.82</v>
      </c>
      <c r="M230" s="13">
        <v>94.05</v>
      </c>
      <c r="N230" s="13">
        <v>169.38</v>
      </c>
    </row>
    <row r="231" spans="1:16" x14ac:dyDescent="0.25">
      <c r="J231" s="24" t="s">
        <v>181</v>
      </c>
      <c r="K231" s="25">
        <f t="shared" ref="K231:K233" si="16">IF(ISNUMBER(M231), M231/5, "SEM PEDAGIO")</f>
        <v>18.809999999999999</v>
      </c>
      <c r="L231" s="25">
        <f t="shared" ref="L231:L233" si="17">IF(ISNUMBER(N231), N231/9, "SEM PEDAGIO")</f>
        <v>18.82</v>
      </c>
      <c r="M231" s="13">
        <v>94.05</v>
      </c>
      <c r="N231" s="13">
        <v>169.38</v>
      </c>
    </row>
    <row r="232" spans="1:16" x14ac:dyDescent="0.25">
      <c r="J232" s="24" t="s">
        <v>192</v>
      </c>
      <c r="K232" s="25">
        <f t="shared" si="16"/>
        <v>7.6</v>
      </c>
      <c r="L232" s="25">
        <f t="shared" si="17"/>
        <v>7.6000000000000005</v>
      </c>
      <c r="M232" s="13">
        <v>38</v>
      </c>
      <c r="N232" s="13">
        <v>68.400000000000006</v>
      </c>
    </row>
    <row r="233" spans="1:16" x14ac:dyDescent="0.25">
      <c r="J233" s="24" t="s">
        <v>155</v>
      </c>
      <c r="K233" s="25" t="str">
        <f t="shared" si="16"/>
        <v>SEM PEDAGIO</v>
      </c>
      <c r="L233" s="25" t="str">
        <f t="shared" si="17"/>
        <v>SEM PEDAGIO</v>
      </c>
      <c r="M233" s="13"/>
      <c r="N233" s="13"/>
    </row>
    <row r="234" spans="1:16" x14ac:dyDescent="0.25">
      <c r="L234" s="7" t="s">
        <v>130</v>
      </c>
      <c r="M234" s="5">
        <f>IF(ISNUMBER(O234), O234/5, "SEM PEDAGIO")</f>
        <v>85.92</v>
      </c>
      <c r="N234" s="5">
        <f>IF(ISNUMBER(P234), P234/9, "SEM PEDAGIO")</f>
        <v>85.926666666666677</v>
      </c>
      <c r="O234" s="13">
        <v>429.6</v>
      </c>
      <c r="P234" s="13">
        <v>773.34</v>
      </c>
    </row>
    <row r="235" spans="1:16" x14ac:dyDescent="0.25">
      <c r="L235" s="21" t="s">
        <v>92</v>
      </c>
      <c r="M235" s="13">
        <f>IF(ISNUMBER(O235), O235/5, "SEM PEDAGIO")</f>
        <v>14.436000000000002</v>
      </c>
      <c r="N235" s="13">
        <f>IF(ISNUMBER(P235), P235/9, "SEM PEDAGIO")</f>
        <v>14.444444444444445</v>
      </c>
      <c r="O235" s="13">
        <v>72.180000000000007</v>
      </c>
      <c r="P235" s="13">
        <v>130</v>
      </c>
    </row>
    <row r="236" spans="1:16" x14ac:dyDescent="0.25">
      <c r="L236" s="2" t="s">
        <v>141</v>
      </c>
      <c r="M236" s="5">
        <f>603.9/9</f>
        <v>67.099999999999994</v>
      </c>
      <c r="N236" s="5">
        <f>603.9/9</f>
        <v>67.099999999999994</v>
      </c>
    </row>
    <row r="237" spans="1:16" x14ac:dyDescent="0.25">
      <c r="L237" s="11" t="s">
        <v>177</v>
      </c>
      <c r="M237" s="13">
        <f t="shared" ref="M237:M246" si="18">IF(ISNUMBER(O237), O237/5, "SEM PEDAGIO")</f>
        <v>18.41</v>
      </c>
      <c r="N237" s="17">
        <f t="shared" ref="N237:N246" si="19">IF(ISNUMBER(P237), P237/9, "SEM PEDAGIO")</f>
        <v>18.41888888888889</v>
      </c>
      <c r="O237" s="13">
        <v>92.05</v>
      </c>
      <c r="P237" s="13">
        <v>165.77</v>
      </c>
    </row>
    <row r="238" spans="1:16" x14ac:dyDescent="0.25">
      <c r="L238" s="21" t="s">
        <v>186</v>
      </c>
      <c r="M238" s="13">
        <f t="shared" si="18"/>
        <v>16.899999999999999</v>
      </c>
      <c r="N238" s="13">
        <f t="shared" si="19"/>
        <v>16.899999999999999</v>
      </c>
      <c r="O238" s="13">
        <v>84.5</v>
      </c>
      <c r="P238" s="13">
        <v>152.1</v>
      </c>
    </row>
    <row r="239" spans="1:16" x14ac:dyDescent="0.25">
      <c r="L239" s="21" t="s">
        <v>185</v>
      </c>
      <c r="M239" s="13">
        <f t="shared" si="18"/>
        <v>67.099999999999994</v>
      </c>
      <c r="N239" s="13">
        <f t="shared" si="19"/>
        <v>67.099999999999994</v>
      </c>
      <c r="O239" s="13">
        <v>335.5</v>
      </c>
      <c r="P239" s="13">
        <v>603.9</v>
      </c>
    </row>
    <row r="240" spans="1:16" x14ac:dyDescent="0.25">
      <c r="L240" s="21" t="s">
        <v>156</v>
      </c>
      <c r="M240" s="13">
        <f t="shared" si="18"/>
        <v>16.236000000000001</v>
      </c>
      <c r="N240" s="13">
        <f t="shared" si="19"/>
        <v>24.144444444444446</v>
      </c>
      <c r="O240" s="13">
        <v>81.180000000000007</v>
      </c>
      <c r="P240" s="13">
        <v>217.3</v>
      </c>
    </row>
    <row r="241" spans="12:16" x14ac:dyDescent="0.25">
      <c r="L241" s="21" t="s">
        <v>184</v>
      </c>
      <c r="M241" s="13">
        <f t="shared" si="18"/>
        <v>15.4</v>
      </c>
      <c r="N241" s="13">
        <f t="shared" si="19"/>
        <v>15.399999999999999</v>
      </c>
      <c r="O241" s="13">
        <v>77</v>
      </c>
      <c r="P241" s="13">
        <v>138.6</v>
      </c>
    </row>
    <row r="242" spans="12:16" x14ac:dyDescent="0.25">
      <c r="L242" s="21" t="s">
        <v>95</v>
      </c>
      <c r="M242" s="13">
        <f t="shared" si="18"/>
        <v>14.436000000000002</v>
      </c>
      <c r="N242" s="13">
        <f t="shared" si="19"/>
        <v>14.444444444444445</v>
      </c>
      <c r="O242" s="13">
        <v>72.180000000000007</v>
      </c>
      <c r="P242" s="13">
        <v>130</v>
      </c>
    </row>
    <row r="243" spans="12:16" x14ac:dyDescent="0.25">
      <c r="L243" s="11" t="s">
        <v>187</v>
      </c>
      <c r="M243" s="13" t="str">
        <f t="shared" si="18"/>
        <v>SEM PEDAGIO</v>
      </c>
      <c r="N243" s="17" t="str">
        <f t="shared" si="19"/>
        <v>SEM PEDAGIO</v>
      </c>
    </row>
    <row r="244" spans="12:16" x14ac:dyDescent="0.25">
      <c r="L244" s="21" t="s">
        <v>182</v>
      </c>
      <c r="M244" s="13">
        <f t="shared" si="18"/>
        <v>32.1</v>
      </c>
      <c r="N244" s="13">
        <f t="shared" si="19"/>
        <v>32.099999999999994</v>
      </c>
      <c r="O244" s="13">
        <v>160.5</v>
      </c>
      <c r="P244" s="13">
        <v>288.89999999999998</v>
      </c>
    </row>
    <row r="245" spans="12:16" x14ac:dyDescent="0.25">
      <c r="L245" s="21" t="s">
        <v>188</v>
      </c>
      <c r="M245" s="13">
        <f t="shared" si="18"/>
        <v>12.634</v>
      </c>
      <c r="N245" s="13">
        <f t="shared" si="19"/>
        <v>12.634444444444444</v>
      </c>
      <c r="O245" s="13">
        <v>63.17</v>
      </c>
      <c r="P245" s="13">
        <v>113.71</v>
      </c>
    </row>
    <row r="246" spans="12:16" x14ac:dyDescent="0.25">
      <c r="L246" s="21" t="s">
        <v>189</v>
      </c>
      <c r="M246" s="13">
        <f t="shared" si="18"/>
        <v>14.9</v>
      </c>
      <c r="N246" s="13">
        <f t="shared" si="19"/>
        <v>14.899999999999999</v>
      </c>
      <c r="O246" s="13">
        <v>74.5</v>
      </c>
      <c r="P246" s="13">
        <v>134.1</v>
      </c>
    </row>
    <row r="247" spans="12:16" x14ac:dyDescent="0.25">
      <c r="L247" s="3" t="s">
        <v>42</v>
      </c>
      <c r="M247" s="4">
        <v>41.1</v>
      </c>
      <c r="N247" s="4">
        <v>41.1</v>
      </c>
    </row>
    <row r="248" spans="12:16" x14ac:dyDescent="0.25">
      <c r="L248" s="21" t="s">
        <v>157</v>
      </c>
      <c r="M248" s="13" t="str">
        <f>IF(ISNUMBER(O248), O248/5, "SEM PEDAGIO")</f>
        <v>SEM PEDAGIO</v>
      </c>
      <c r="N248" s="17" t="str">
        <f>IF(ISNUMBER(P248), P248/9, "SEM PEDAGIO")</f>
        <v>SEM PEDAGIO</v>
      </c>
    </row>
    <row r="249" spans="12:16" x14ac:dyDescent="0.25">
      <c r="L249" s="2" t="s">
        <v>12</v>
      </c>
      <c r="M249" s="8">
        <v>21.64</v>
      </c>
      <c r="N249" s="26">
        <v>21.64</v>
      </c>
    </row>
    <row r="250" spans="12:16" x14ac:dyDescent="0.25">
      <c r="L250" s="21" t="s">
        <v>108</v>
      </c>
      <c r="M250" s="13" t="str">
        <f>IF(ISNUMBER(O250), O250/5, "SEM PEDAGIO")</f>
        <v>SEM PEDAGIO</v>
      </c>
      <c r="N250" s="17" t="str">
        <f>IF(ISNUMBER(P250), P250/9, "SEM PEDAGIO")</f>
        <v>SEM PEDAGIO</v>
      </c>
    </row>
    <row r="251" spans="12:16" x14ac:dyDescent="0.25">
      <c r="L251" s="3" t="s">
        <v>48</v>
      </c>
      <c r="M251" s="4">
        <v>14.9</v>
      </c>
      <c r="N251" s="27">
        <v>14.9</v>
      </c>
    </row>
    <row r="252" spans="12:16" x14ac:dyDescent="0.25">
      <c r="L252" s="2" t="s">
        <v>149</v>
      </c>
      <c r="M252" s="5">
        <f t="shared" ref="M252:M257" si="20">IF(ISNUMBER(O252), O252/5, "SEM PEDAGIO")</f>
        <v>79.62</v>
      </c>
      <c r="N252" s="5">
        <f t="shared" ref="N252:N257" si="21">IF(ISNUMBER(P252), P252/9, "SEM PEDAGIO")</f>
        <v>79.626666666666665</v>
      </c>
      <c r="O252" s="4">
        <v>398.1</v>
      </c>
      <c r="P252" s="4">
        <v>716.64</v>
      </c>
    </row>
    <row r="253" spans="12:16" x14ac:dyDescent="0.25">
      <c r="L253" s="11" t="s">
        <v>179</v>
      </c>
      <c r="M253" s="13">
        <f t="shared" si="20"/>
        <v>18.41</v>
      </c>
      <c r="N253" s="13">
        <f t="shared" si="21"/>
        <v>18.41888888888889</v>
      </c>
      <c r="O253" s="13">
        <v>92.05</v>
      </c>
      <c r="P253" s="13">
        <v>165.77</v>
      </c>
    </row>
    <row r="254" spans="12:16" x14ac:dyDescent="0.25">
      <c r="L254" s="11" t="s">
        <v>191</v>
      </c>
      <c r="M254" s="13">
        <f t="shared" si="20"/>
        <v>12.178000000000001</v>
      </c>
      <c r="N254" s="13">
        <f t="shared" si="21"/>
        <v>12.181111111111111</v>
      </c>
      <c r="O254" s="13">
        <v>60.89</v>
      </c>
      <c r="P254" s="13">
        <v>109.63</v>
      </c>
    </row>
    <row r="255" spans="12:16" x14ac:dyDescent="0.25">
      <c r="L255" s="11" t="s">
        <v>181</v>
      </c>
      <c r="M255" s="13">
        <f t="shared" si="20"/>
        <v>18.41</v>
      </c>
      <c r="N255" s="13">
        <f t="shared" si="21"/>
        <v>18.41888888888889</v>
      </c>
      <c r="O255" s="13">
        <v>92.05</v>
      </c>
      <c r="P255" s="13">
        <v>165.77</v>
      </c>
    </row>
    <row r="256" spans="12:16" x14ac:dyDescent="0.25">
      <c r="L256" s="21" t="s">
        <v>192</v>
      </c>
      <c r="M256" s="13">
        <f t="shared" si="20"/>
        <v>7.6</v>
      </c>
      <c r="N256" s="13">
        <f t="shared" si="21"/>
        <v>7.6000000000000005</v>
      </c>
      <c r="O256" s="13">
        <v>38</v>
      </c>
      <c r="P256" s="13">
        <v>68.400000000000006</v>
      </c>
    </row>
    <row r="257" spans="12:14" x14ac:dyDescent="0.25">
      <c r="L257" s="2" t="s">
        <v>155</v>
      </c>
      <c r="M257" s="5" t="str">
        <f t="shared" si="20"/>
        <v>SEM PEDAGIO</v>
      </c>
      <c r="N257" s="5" t="str">
        <f t="shared" si="21"/>
        <v>SEM PEDAGIO</v>
      </c>
    </row>
  </sheetData>
  <mergeCells count="1">
    <mergeCell ref="A205:B228"/>
  </mergeCells>
  <conditionalFormatting sqref="C80:C204 C1:C78 C229:C1048576">
    <cfRule type="duplicateValues" dxfId="15" priority="21"/>
  </conditionalFormatting>
  <conditionalFormatting sqref="I192:I203">
    <cfRule type="duplicateValues" dxfId="14" priority="15"/>
  </conditionalFormatting>
  <conditionalFormatting sqref="I206">
    <cfRule type="duplicateValues" dxfId="13" priority="14"/>
  </conditionalFormatting>
  <conditionalFormatting sqref="J209">
    <cfRule type="duplicateValues" dxfId="12" priority="13"/>
  </conditionalFormatting>
  <conditionalFormatting sqref="L234">
    <cfRule type="duplicateValues" dxfId="11" priority="12"/>
  </conditionalFormatting>
  <conditionalFormatting sqref="L236">
    <cfRule type="duplicateValues" dxfId="10" priority="11"/>
  </conditionalFormatting>
  <conditionalFormatting sqref="L237">
    <cfRule type="duplicateValues" dxfId="9" priority="10"/>
  </conditionalFormatting>
  <conditionalFormatting sqref="L243">
    <cfRule type="duplicateValues" dxfId="8" priority="9"/>
  </conditionalFormatting>
  <conditionalFormatting sqref="L244">
    <cfRule type="duplicateValues" dxfId="7" priority="8"/>
  </conditionalFormatting>
  <conditionalFormatting sqref="L245">
    <cfRule type="duplicateValues" dxfId="6" priority="7"/>
  </conditionalFormatting>
  <conditionalFormatting sqref="L246">
    <cfRule type="duplicateValues" dxfId="5" priority="6"/>
  </conditionalFormatting>
  <conditionalFormatting sqref="L247">
    <cfRule type="duplicateValues" dxfId="4" priority="5"/>
  </conditionalFormatting>
  <conditionalFormatting sqref="L248">
    <cfRule type="duplicateValues" dxfId="3" priority="4"/>
  </conditionalFormatting>
  <conditionalFormatting sqref="L249">
    <cfRule type="duplicateValues" dxfId="2" priority="3"/>
  </conditionalFormatting>
  <conditionalFormatting sqref="L250">
    <cfRule type="duplicateValues" dxfId="1" priority="2"/>
  </conditionalFormatting>
  <conditionalFormatting sqref="L251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BASE_PEDAGIOS</vt:lpstr>
      <vt:lpstr>BD R$.eixo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Kisiel de Matos</dc:creator>
  <cp:lastModifiedBy>Socrates Luis dos Santos</cp:lastModifiedBy>
  <dcterms:created xsi:type="dcterms:W3CDTF">2023-10-02T14:06:12Z</dcterms:created>
  <dcterms:modified xsi:type="dcterms:W3CDTF">2024-06-25T16:04:08Z</dcterms:modified>
</cp:coreProperties>
</file>